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 hidePivotFieldList="1"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F56387A5-4877-4DD2-9065-1349C3EE4B90}" xr6:coauthVersionLast="47" xr6:coauthVersionMax="47" xr10:uidLastSave="{00000000-0000-0000-0000-000000000000}"/>
  <bookViews>
    <workbookView xWindow="-120" yWindow="-120" windowWidth="20730" windowHeight="11040" firstSheet="5" activeTab="5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Detalhes2" sheetId="6" state="hidden" r:id="rId4"/>
    <sheet name="C̳álculos" sheetId="3" state="hidden" r:id="rId5"/>
    <sheet name="D̳ashboard" sheetId="4" r:id="rId6"/>
  </sheets>
  <externalReferences>
    <externalReference r:id="rId7"/>
  </externalReferences>
  <definedNames>
    <definedName name="SegmentaçãodeDados_Subscription_Type">#N/A</definedName>
  </definedNames>
  <calcPr calcId="191028"/>
  <pivotCaches>
    <pivotCache cacheId="3398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3" l="1"/>
  <c r="C8" i="4" s="1"/>
  <c r="D36" i="3"/>
  <c r="G8" i="4" s="1"/>
</calcChain>
</file>

<file path=xl/sharedStrings.xml><?xml version="1.0" encoding="utf-8"?>
<sst xmlns="http://schemas.openxmlformats.org/spreadsheetml/2006/main" count="3184" uniqueCount="327">
  <si>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</si>
  <si>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</si>
  <si>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</si>
  <si>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</si>
  <si>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</si>
  <si>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</si>
  <si>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</si>
  <si>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</si>
  <si>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</si>
  <si>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</si>
  <si>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</si>
  <si>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</si>
  <si>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</si>
  <si>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</si>
  <si>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</si>
  <si>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</si>
  <si>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</si>
  <si>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</si>
  <si>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</si>
  <si>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</si>
  <si>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</si>
  <si>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</si>
  <si>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</si>
  <si>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</si>
  <si>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</si>
  <si>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</si>
  <si>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</si>
  <si>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</si>
  <si>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</si>
  <si>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</si>
  <si>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</si>
  <si>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</si>
  <si>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</si>
  <si>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</si>
  <si>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</si>
  <si>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</si>
  <si>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</si>
  <si>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</si>
  <si>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</si>
  <si>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</si>
  <si>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</si>
  <si>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</si>
  <si>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</si>
  <si>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</si>
  <si>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</si>
  <si>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</si>
  <si>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</si>
  <si>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</si>
  <si>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</si>
  <si>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</si>
  <si>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</si>
  <si>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</si>
  <si>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</si>
  <si>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</si>
  <si>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</si>
  <si>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</si>
  <si>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</si>
  <si>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</si>
  <si>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</si>
  <si>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</si>
  <si>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</si>
  <si>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</si>
  <si>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</si>
  <si>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</si>
  <si>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</si>
  <si>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</si>
  <si>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</si>
  <si>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</si>
  <si>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</si>
  <si>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</si>
  <si>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</si>
  <si>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</si>
  <si>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</si>
  <si>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</si>
  <si>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</si>
  <si>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</si>
  <si>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</si>
  <si>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</si>
  <si>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</si>
  <si>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</si>
  <si>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</si>
  <si>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</si>
  <si>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</si>
  <si>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</si>
  <si>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</si>
  <si>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</si>
  <si>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</si>
  <si>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</si>
  <si>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</si>
  <si>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</si>
  <si>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</si>
  <si>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</si>
  <si>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</si>
  <si>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</si>
  <si>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</si>
  <si>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</si>
  <si>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</si>
  <si>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</si>
  <si>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</si>
  <si>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</si>
  <si>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</si>
  <si>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</si>
  <si>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</si>
  <si>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</si>
  <si>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</si>
  <si>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</si>
  <si>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</si>
  <si>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</si>
  <si>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</si>
  <si>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</si>
  <si>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</si>
  <si>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</si>
  <si>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</si>
  <si>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</si>
  <si>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</si>
  <si>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</si>
  <si>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</si>
  <si>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</si>
  <si>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</si>
  <si>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</si>
  <si>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</si>
  <si>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</si>
  <si>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</si>
  <si>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</si>
  <si>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</si>
  <si>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</si>
  <si>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</si>
  <si>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</si>
  <si>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</si>
  <si>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</si>
  <si>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</si>
  <si>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</si>
  <si>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</si>
  <si>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</si>
  <si>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</si>
  <si>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</si>
  <si>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</si>
  <si>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</si>
  <si>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</si>
  <si>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</si>
  <si>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</si>
  <si>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</si>
  <si>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</si>
  <si>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</si>
  <si>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</si>
  <si>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</si>
  <si>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</si>
  <si>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</si>
  <si>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</si>
  <si>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</si>
  <si>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</si>
  <si>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</si>
  <si>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</si>
  <si>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</si>
  <si>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</si>
  <si>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</si>
  <si>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</si>
  <si>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</si>
  <si>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</si>
  <si>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</si>
  <si>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</si>
  <si>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</si>
  <si>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</si>
  <si>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</si>
  <si>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</si>
  <si>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</si>
  <si>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</si>
  <si>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</si>
  <si>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</si>
  <si>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</si>
  <si>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</si>
  <si>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</si>
  <si>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</si>
  <si>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</si>
  <si>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</si>
  <si>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</si>
  <si>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</si>
  <si>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</si>
  <si>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</si>
  <si>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</si>
  <si>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</si>
  <si>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</si>
  <si>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</si>
  <si>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</si>
  <si>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</si>
  <si>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</si>
  <si>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</si>
  <si>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</si>
  <si>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</si>
  <si>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</si>
  <si>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</si>
  <si>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</si>
  <si>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</si>
  <si>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</si>
  <si>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</si>
  <si>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</si>
  <si>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</si>
  <si>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</si>
  <si>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</si>
  <si>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</si>
  <si>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</si>
  <si>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</si>
  <si>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</si>
  <si>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</si>
  <si>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</si>
  <si>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</si>
  <si>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</si>
  <si>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</si>
  <si>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</si>
  <si>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</si>
  <si>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</si>
  <si>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</si>
  <si>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</si>
  <si>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</si>
  <si>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</si>
  <si>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</si>
  <si>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</si>
  <si>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</si>
  <si>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</si>
  <si>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</si>
  <si>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</si>
  <si>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</si>
  <si>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</si>
  <si>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</si>
  <si>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</si>
  <si>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</si>
  <si>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</si>
  <si>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</si>
  <si>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</si>
  <si>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</si>
  <si>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</si>
  <si>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</si>
  <si>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</si>
  <si>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</si>
  <si>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</si>
  <si>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</si>
  <si>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</si>
  <si>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</si>
  <si>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</si>
  <si>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</si>
  <si>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</si>
  <si>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</si>
  <si>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</si>
  <si>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</si>
  <si>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</si>
  <si>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</si>
  <si>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</si>
  <si>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</si>
  <si>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</si>
  <si>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</si>
  <si>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</si>
  <si>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</si>
  <si>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</si>
  <si>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</si>
  <si>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</si>
  <si>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</si>
  <si>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</si>
  <si>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</si>
  <si>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</si>
  <si>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</si>
  <si>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</si>
  <si>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</si>
  <si>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</si>
  <si>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</si>
  <si>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</si>
  <si>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</si>
  <si>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</si>
  <si>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</si>
  <si>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</si>
  <si>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</si>
  <si>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</si>
  <si>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</si>
  <si>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</si>
  <si>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</si>
  <si>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</si>
  <si>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</si>
  <si>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</si>
  <si>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</si>
  <si>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</si>
  <si>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</si>
  <si>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</si>
  <si>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</si>
  <si>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</si>
  <si>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</si>
  <si>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</si>
  <si>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</si>
  <si>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</si>
  <si>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</si>
  <si>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</si>
  <si>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</si>
  <si>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</si>
  <si>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</si>
  <si>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</si>
  <si>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</si>
  <si>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</si>
  <si>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</si>
  <si>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</si>
  <si>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</si>
  <si>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</si>
  <si>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</si>
  <si>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</si>
  <si>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</si>
  <si>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</si>
  <si>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</si>
  <si>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</si>
  <si>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</si>
  <si>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</si>
  <si>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</si>
  <si>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</si>
  <si>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</si>
  <si>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</si>
  <si>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</si>
  <si>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</si>
  <si>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Detalhes do Soma de EA Play Season PassPrice - Subscription Type: Quarterly</t>
  </si>
  <si>
    <t>É uma pergunta de negócio respondida através de alguma análise de dados específica</t>
  </si>
  <si>
    <r>
      <rPr>
        <sz val="11"/>
        <color rgb="FF000000"/>
        <rFont val="Aptos Narrow"/>
        <scheme val="minor"/>
      </rPr>
      <t xml:space="preserve">Pergunta de Negócio 1 -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</t>
    </r>
    <r>
      <rPr>
        <b/>
        <sz val="11"/>
        <color rgb="FF000000"/>
        <rFont val="Aptos Narrow"/>
        <scheme val="minor"/>
      </rPr>
      <t xml:space="preserve"> planos anuais</t>
    </r>
    <r>
      <rPr>
        <sz val="11"/>
        <color rgb="FF000000"/>
        <rFont val="Aptos Narrow"/>
        <scheme val="minor"/>
      </rPr>
      <t xml:space="preserve"> (contendo todas as assinaturas agregadas)</t>
    </r>
  </si>
  <si>
    <r>
      <rPr>
        <sz val="11"/>
        <color rgb="FF000000"/>
        <rFont val="Aptos Narrow"/>
        <scheme val="minor"/>
      </rPr>
      <t xml:space="preserve">Pergunta de Negócio 2 - Qual faturamento </t>
    </r>
    <r>
      <rPr>
        <b/>
        <sz val="11"/>
        <color rgb="FF000000"/>
        <rFont val="Aptos Narrow"/>
        <scheme val="minor"/>
      </rPr>
      <t>Total de Vendas</t>
    </r>
    <r>
      <rPr>
        <sz val="11"/>
        <color rgb="FF000000"/>
        <rFont val="Aptos Narrow"/>
        <scheme val="minor"/>
      </rPr>
      <t xml:space="preserve"> de </t>
    </r>
    <r>
      <rPr>
        <b/>
        <sz val="11"/>
        <color rgb="FF000000"/>
        <rFont val="Aptos Narrow"/>
        <scheme val="minor"/>
      </rPr>
      <t xml:space="preserve">planos anuais </t>
    </r>
    <r>
      <rPr>
        <sz val="11"/>
        <color rgb="FF000000"/>
        <rFont val="Aptos Narrow"/>
        <scheme val="minor"/>
      </rPr>
      <t>separado por autorenovação ou que não é por autorenovação.</t>
    </r>
  </si>
  <si>
    <t>Soma de Total Value</t>
  </si>
  <si>
    <t>Total Geral</t>
  </si>
  <si>
    <t>Pergunta de Negócio 3 - Total de vendas de assinatatura do  EA Play.</t>
  </si>
  <si>
    <t>Soma de EA Play Season PassPrice</t>
  </si>
  <si>
    <t>Pergunta de Negócio 4 - Total de assinatatura do Minecraft Season Pass</t>
  </si>
  <si>
    <t>Soma de Minecraft Season Pass Price</t>
  </si>
  <si>
    <t xml:space="preserve">                XBOX GAME PASS SUBSCRIPTIONS SALES</t>
  </si>
  <si>
    <t>TOTAL SUBSCRIPITONS EA PLAY SEASON PASS</t>
  </si>
  <si>
    <t>TOTAL SUBSCRIPITONS MINECRAFT SEASON PASS</t>
  </si>
  <si>
    <t>TOTAL SUBSCRIPTIONS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</si>
</sst>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3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Calibri"/>
      <scheme val="minor"/>
    </font>
    <font>
      <sz val="11"/>
      <color rgb="FF000000"/>
      <name val="Aptos Narrow"/>
      <scheme val="minor"/>
    </font>
    <font>
      <b/>
      <sz val="11"/>
      <color rgb="FF000000"/>
      <name val="Aptos Narrow"/>
      <scheme val="minor"/>
    </font>
    <font>
      <b/>
      <sz val="15"/>
      <color rgb="FF2AE6B1"/>
      <name val="Segoe UI"/>
    </font>
    <font>
      <sz val="11"/>
      <color theme="4" tint="0.79998168889431442"/>
      <name val="Aptos Narrow"/>
      <family val="2"/>
      <scheme val="minor"/>
    </font>
    <font>
      <b/>
      <sz val="15"/>
      <color rgb="FF22C55E"/>
      <name val="Segoe UI"/>
    </font>
    <font>
      <sz val="11"/>
      <color rgb="FF22C55E"/>
      <name val="Aptos Narrow"/>
      <family val="2"/>
      <scheme val="minor"/>
    </font>
    <font>
      <b/>
      <sz val="11"/>
      <color theme="0"/>
      <name val="Segoe UI"/>
    </font>
    <font>
      <sz val="36"/>
      <color rgb="FF22C55E"/>
      <name val="Segoe UI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medium">
        <color rgb="FF22C55E"/>
      </bottom>
      <diagonal/>
    </border>
    <border>
      <left/>
      <right style="thin">
        <color theme="0" tint="-0.34998626667073579"/>
      </right>
      <top/>
      <bottom style="medium">
        <color rgb="FF22C55E"/>
      </bottom>
      <diagonal/>
    </border>
    <border>
      <left/>
      <right/>
      <top/>
      <bottom style="medium">
        <color rgb="FF22C55E"/>
      </bottom>
      <diagonal/>
    </border>
    <border>
      <left/>
      <right/>
      <top style="medium">
        <color rgb="FF22C55E"/>
      </top>
      <bottom/>
      <diagonal/>
    </border>
    <border>
      <left style="medium">
        <color rgb="FF22C55E"/>
      </left>
      <right/>
      <top style="medium">
        <color rgb="FF22C55E"/>
      </top>
      <bottom/>
      <diagonal/>
    </border>
    <border>
      <left style="medium">
        <color rgb="FF22C55E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4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/>
    <xf numFmtId="0" fontId="5" fillId="0" borderId="0" xfId="0" applyFont="1" applyAlignment="1"/>
    <xf numFmtId="0" fontId="0" fillId="0" borderId="0" xfId="0" pivotButton="1"/>
    <xf numFmtId="44" fontId="0" fillId="0" borderId="0" xfId="0" applyNumberFormat="1"/>
    <xf numFmtId="0" fontId="4" fillId="8" borderId="0" xfId="3" applyAlignment="1"/>
    <xf numFmtId="0" fontId="7" fillId="0" borderId="2" xfId="1" applyFont="1" applyFill="1" applyBorder="1"/>
    <xf numFmtId="0" fontId="8" fillId="9" borderId="0" xfId="0" applyFont="1" applyFill="1"/>
    <xf numFmtId="44" fontId="8" fillId="9" borderId="0" xfId="0" applyNumberFormat="1" applyFont="1" applyFill="1"/>
    <xf numFmtId="0" fontId="0" fillId="0" borderId="0" xfId="0" applyNumberFormat="1"/>
    <xf numFmtId="14" fontId="0" fillId="0" borderId="0" xfId="0" applyNumberFormat="1"/>
    <xf numFmtId="0" fontId="3" fillId="0" borderId="0" xfId="0" applyFont="1"/>
    <xf numFmtId="0" fontId="9" fillId="0" borderId="2" xfId="1" applyFont="1" applyFill="1" applyBorder="1" applyAlignment="1">
      <alignment horizontal="left"/>
    </xf>
    <xf numFmtId="164" fontId="0" fillId="0" borderId="0" xfId="0" applyNumberFormat="1"/>
    <xf numFmtId="0" fontId="10" fillId="5" borderId="0" xfId="0" applyFont="1" applyFill="1"/>
    <xf numFmtId="0" fontId="0" fillId="7" borderId="0" xfId="0" applyFill="1" applyAlignment="1">
      <alignment wrapText="1"/>
    </xf>
    <xf numFmtId="0" fontId="0" fillId="7" borderId="14" xfId="0" applyFill="1" applyBorder="1"/>
    <xf numFmtId="0" fontId="0" fillId="7" borderId="15" xfId="0" applyFill="1" applyBorder="1"/>
    <xf numFmtId="0" fontId="0" fillId="7" borderId="16" xfId="0" applyFill="1" applyBorder="1"/>
    <xf numFmtId="164" fontId="12" fillId="9" borderId="6" xfId="0" applyNumberFormat="1" applyFont="1" applyFill="1" applyBorder="1" applyAlignment="1">
      <alignment vertical="center" wrapText="1"/>
    </xf>
    <xf numFmtId="164" fontId="12" fillId="9" borderId="7" xfId="0" applyNumberFormat="1" applyFont="1" applyFill="1" applyBorder="1" applyAlignment="1">
      <alignment vertical="center" wrapText="1"/>
    </xf>
    <xf numFmtId="164" fontId="12" fillId="9" borderId="8" xfId="0" applyNumberFormat="1" applyFont="1" applyFill="1" applyBorder="1" applyAlignment="1">
      <alignment vertical="center" wrapText="1"/>
    </xf>
    <xf numFmtId="164" fontId="12" fillId="9" borderId="10" xfId="0" applyNumberFormat="1" applyFont="1" applyFill="1" applyBorder="1" applyAlignment="1">
      <alignment vertical="center" wrapText="1"/>
    </xf>
    <xf numFmtId="164" fontId="12" fillId="9" borderId="6" xfId="0" applyNumberFormat="1" applyFont="1" applyFill="1" applyBorder="1" applyAlignment="1">
      <alignment horizontal="right" vertical="center" wrapText="1"/>
    </xf>
    <xf numFmtId="164" fontId="12" fillId="9" borderId="0" xfId="0" applyNumberFormat="1" applyFont="1" applyFill="1" applyBorder="1" applyAlignment="1">
      <alignment horizontal="right" vertical="center" wrapText="1"/>
    </xf>
    <xf numFmtId="164" fontId="12" fillId="9" borderId="7" xfId="0" applyNumberFormat="1" applyFont="1" applyFill="1" applyBorder="1" applyAlignment="1">
      <alignment horizontal="right" vertical="center" wrapText="1"/>
    </xf>
    <xf numFmtId="164" fontId="12" fillId="9" borderId="8" xfId="0" applyNumberFormat="1" applyFont="1" applyFill="1" applyBorder="1" applyAlignment="1">
      <alignment horizontal="right" vertical="center" wrapText="1"/>
    </xf>
    <xf numFmtId="164" fontId="12" fillId="9" borderId="9" xfId="0" applyNumberFormat="1" applyFont="1" applyFill="1" applyBorder="1" applyAlignment="1">
      <alignment horizontal="right" vertical="center" wrapText="1"/>
    </xf>
    <xf numFmtId="164" fontId="12" fillId="9" borderId="10" xfId="0" applyNumberFormat="1" applyFont="1" applyFill="1" applyBorder="1" applyAlignment="1">
      <alignment horizontal="right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11" xfId="0" applyFont="1" applyFill="1" applyBorder="1" applyAlignment="1">
      <alignment horizontal="center" vertical="center" wrapText="1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2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28">
    <dxf>
      <numFmt numFmtId="19" formatCode="dd/mm/yyyy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  <dxf>
      <font>
        <color theme="4" tint="0.79998168889431442"/>
      </font>
    </dxf>
  </dxfs>
  <tableStyles count="0" defaultTableStyle="TableStyleMedium2" defaultPivotStyle="PivotStyleLight16"/>
  <colors>
    <mruColors>
      <color rgb="FF22C55E"/>
      <color rgb="FF2AE6B1"/>
      <color rgb="FF5BF6A8"/>
      <color rgb="FFEDEDED"/>
      <color rgb="FFE8E6E9"/>
      <color rgb="FF637CEF"/>
      <color rgb="FF000000"/>
      <color rgb="FFE0E0E0"/>
      <color rgb="FFF7F8FC"/>
      <color rgb="FF9BC84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[dashboard_xboxdio.xlsx]C̳álculos!tbl_annual_total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 w="25400">
            <a:noFill/>
          </a:ln>
          <a:effectLst/>
        </c:spPr>
        <c:marker>
          <c:symbol val="circle"/>
          <c:size val="5"/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 w="25400">
            <a:noFill/>
          </a:ln>
          <a:effectLst/>
        </c:spPr>
      </c:pivotFmt>
      <c:pivotFmt>
        <c:idx val="2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5BF6A8"/>
          </a:solidFill>
          <a:ln w="2540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8ED97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DAF2D0"/>
                  </a:solidFill>
                  <a:latin typeface="Arial"/>
                  <a:ea typeface="Arial"/>
                  <a:cs typeface="Arial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ED97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DAF2D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B7-4894-953C-5E8F5080C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6313735"/>
        <c:axId val="106319879"/>
      </c:barChart>
      <c:catAx>
        <c:axId val="106313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319879"/>
        <c:crosses val="autoZero"/>
        <c:auto val="1"/>
        <c:lblAlgn val="ctr"/>
        <c:lblOffset val="100"/>
        <c:noMultiLvlLbl val="0"/>
      </c:catAx>
      <c:valAx>
        <c:axId val="106319879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06313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333375</xdr:colOff>
      <xdr:row>15</xdr:row>
      <xdr:rowOff>0</xdr:rowOff>
    </xdr:from>
    <xdr:to>
      <xdr:col>9</xdr:col>
      <xdr:colOff>2057400</xdr:colOff>
      <xdr:row>32</xdr:row>
      <xdr:rowOff>95250</xdr:rowOff>
    </xdr:to>
    <xdr:sp macro="" textlink="">
      <xdr:nvSpPr>
        <xdr:cNvPr id="8" name="Retângulo Arredondado 7">
          <a:extLst>
            <a:ext uri="{FF2B5EF4-FFF2-40B4-BE49-F238E27FC236}">
              <a16:creationId xmlns:a16="http://schemas.microsoft.com/office/drawing/2014/main" id="{9297811B-75B4-1EE8-28B5-0BB027526199}"/>
            </a:ext>
            <a:ext uri="{147F2762-F138-4A5C-976F-8EAC2B608ADB}">
              <a16:predDERef xmlns:a16="http://schemas.microsoft.com/office/drawing/2014/main" pred="{EC67D9BD-8B44-3DDF-5425-0FAF4D99B382}"/>
            </a:ext>
          </a:extLst>
        </xdr:cNvPr>
        <xdr:cNvSpPr/>
      </xdr:nvSpPr>
      <xdr:spPr>
        <a:xfrm>
          <a:off x="2676525" y="3686175"/>
          <a:ext cx="7943850" cy="3333750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2</xdr:col>
      <xdr:colOff>0</xdr:colOff>
      <xdr:row>1</xdr:row>
      <xdr:rowOff>9525</xdr:rowOff>
    </xdr:from>
    <xdr:to>
      <xdr:col>2</xdr:col>
      <xdr:colOff>581025</xdr:colOff>
      <xdr:row>2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D94F1AF-279E-4636-969A-D895FDE823FD}"/>
            </a:ext>
            <a:ext uri="{147F2762-F138-4A5C-976F-8EAC2B608ADB}">
              <a16:predDERef xmlns:a16="http://schemas.microsoft.com/office/drawing/2014/main" pred="{9297811B-75B4-1EE8-28B5-0BB027526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32" t="12235" r="73199" b="15633"/>
        <a:stretch>
          <a:fillRect/>
        </a:stretch>
      </xdr:blipFill>
      <xdr:spPr>
        <a:xfrm>
          <a:off x="2647950" y="200025"/>
          <a:ext cx="581025" cy="733425"/>
        </a:xfrm>
        <a:prstGeom prst="rect">
          <a:avLst/>
        </a:prstGeom>
      </xdr:spPr>
    </xdr:pic>
    <xdr:clientData/>
  </xdr:twoCellAnchor>
  <xdr:twoCellAnchor>
    <xdr:from>
      <xdr:col>2</xdr:col>
      <xdr:colOff>581025</xdr:colOff>
      <xdr:row>16</xdr:row>
      <xdr:rowOff>9525</xdr:rowOff>
    </xdr:from>
    <xdr:to>
      <xdr:col>9</xdr:col>
      <xdr:colOff>1866900</xdr:colOff>
      <xdr:row>31</xdr:row>
      <xdr:rowOff>19050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DC66E38-63BE-46B2-A285-2407980F4046}"/>
            </a:ext>
            <a:ext uri="{147F2762-F138-4A5C-976F-8EAC2B608ADB}">
              <a16:predDERef xmlns:a16="http://schemas.microsoft.com/office/drawing/2014/main" pred="{6D94F1AF-279E-4636-969A-D895FDE823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457200</xdr:rowOff>
    </xdr:from>
    <xdr:to>
      <xdr:col>1</xdr:col>
      <xdr:colOff>0</xdr:colOff>
      <xdr:row>17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 1">
              <a:extLst>
                <a:ext uri="{FF2B5EF4-FFF2-40B4-BE49-F238E27FC236}">
                  <a16:creationId xmlns:a16="http://schemas.microsoft.com/office/drawing/2014/main" id="{EC67D9BD-8B44-3DDF-5425-0FAF4D99B382}"/>
                </a:ext>
                <a:ext uri="{147F2762-F138-4A5C-976F-8EAC2B608ADB}">
                  <a16:predDERef xmlns:a16="http://schemas.microsoft.com/office/drawing/2014/main" pred="{ADC66E38-63BE-46B2-A285-2407980F40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390650"/>
              <a:ext cx="1981200" cy="2724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2</xdr:col>
      <xdr:colOff>76200</xdr:colOff>
      <xdr:row>4</xdr:row>
      <xdr:rowOff>85725</xdr:rowOff>
    </xdr:from>
    <xdr:to>
      <xdr:col>2</xdr:col>
      <xdr:colOff>1295400</xdr:colOff>
      <xdr:row>10</xdr:row>
      <xdr:rowOff>76200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8BC4D8E5-4AD4-4C0C-B478-29E34FCE81E8}"/>
            </a:ext>
            <a:ext uri="{147F2762-F138-4A5C-976F-8EAC2B608ADB}">
              <a16:predDERef xmlns:a16="http://schemas.microsoft.com/office/drawing/2014/main" pred="{EC67D9BD-8B44-3DDF-5425-0FAF4D99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9350" y="1590675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6</xdr:row>
      <xdr:rowOff>9525</xdr:rowOff>
    </xdr:from>
    <xdr:to>
      <xdr:col>9</xdr:col>
      <xdr:colOff>57150</xdr:colOff>
      <xdr:row>8</xdr:row>
      <xdr:rowOff>114300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293AD36-471D-84E0-821A-0C8C76CE0DEE}"/>
            </a:ext>
            <a:ext uri="{147F2762-F138-4A5C-976F-8EAC2B608ADB}">
              <a16:predDERef xmlns:a16="http://schemas.microsoft.com/office/drawing/2014/main" pred="{8BC4D8E5-4AD4-4C0C-B478-29E34FCE8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58075" y="1819275"/>
          <a:ext cx="1162050" cy="647700"/>
        </a:xfrm>
        <a:prstGeom prst="rect">
          <a:avLst/>
        </a:prstGeom>
      </xdr:spPr>
    </xdr:pic>
    <xdr:clientData/>
  </xdr:twoCellAnchor>
  <xdr:twoCellAnchor>
    <xdr:from>
      <xdr:col>0</xdr:col>
      <xdr:colOff>590550</xdr:colOff>
      <xdr:row>0</xdr:row>
      <xdr:rowOff>133350</xdr:rowOff>
    </xdr:from>
    <xdr:to>
      <xdr:col>0</xdr:col>
      <xdr:colOff>1285875</xdr:colOff>
      <xdr:row>1</xdr:row>
      <xdr:rowOff>638175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84F5980B-AA8D-4738-9B8F-52B5FAE2824C}"/>
            </a:ext>
            <a:ext uri="{147F2762-F138-4A5C-976F-8EAC2B608ADB}">
              <a16:predDERef xmlns:a16="http://schemas.microsoft.com/office/drawing/2014/main" pred="{D293AD36-471D-84E0-821A-0C8C76CE0DEE}"/>
            </a:ext>
          </a:extLst>
        </xdr:cNvPr>
        <xdr:cNvSpPr/>
      </xdr:nvSpPr>
      <xdr:spPr>
        <a:xfrm>
          <a:off x="590550" y="133350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190500</xdr:colOff>
      <xdr:row>2</xdr:row>
      <xdr:rowOff>57150</xdr:rowOff>
    </xdr:from>
    <xdr:to>
      <xdr:col>0</xdr:col>
      <xdr:colOff>1676400</xdr:colOff>
      <xdr:row>2</xdr:row>
      <xdr:rowOff>352425</xdr:rowOff>
    </xdr:to>
    <xdr:sp macro="" textlink="">
      <xdr:nvSpPr>
        <xdr:cNvPr id="15" name="Retângulo Arredondado 14">
          <a:extLst>
            <a:ext uri="{FF2B5EF4-FFF2-40B4-BE49-F238E27FC236}">
              <a16:creationId xmlns:a16="http://schemas.microsoft.com/office/drawing/2014/main" id="{1294DFD5-44C5-634B-0AED-5E4073A0975A}"/>
            </a:ext>
            <a:ext uri="{147F2762-F138-4A5C-976F-8EAC2B608ADB}">
              <a16:predDERef xmlns:a16="http://schemas.microsoft.com/office/drawing/2014/main" pred="{84F5980B-AA8D-4738-9B8F-52B5FAE2824C}"/>
            </a:ext>
          </a:extLst>
        </xdr:cNvPr>
        <xdr:cNvSpPr/>
      </xdr:nvSpPr>
      <xdr:spPr>
        <a:xfrm>
          <a:off x="190500" y="990600"/>
          <a:ext cx="1485900" cy="295275"/>
        </a:xfrm>
        <a:prstGeom prst="roundRect">
          <a:avLst/>
        </a:prstGeom>
        <a:solidFill>
          <a:srgbClr val="2AE6B1"/>
        </a:solidFill>
        <a:ln w="3175">
          <a:solidFill>
            <a:srgbClr val="EDEDED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&gt;</a:t>
          </a:r>
          <a:r>
            <a:rPr lang="en-US" sz="1100" b="0" i="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 </a:t>
          </a:r>
          <a:r>
            <a:rPr lang="en-US" sz="1100" u="none" strike="noStrike">
              <a:solidFill>
                <a:schemeClr val="lt1"/>
              </a:solidFill>
              <a:latin typeface="Segoe UI" panose="020B0502040204020203" pitchFamily="34" charset="0"/>
              <a:cs typeface="Segoe UI" panose="020B0502040204020203" pitchFamily="34" charset="0"/>
            </a:rPr>
            <a:t>Bem Vinda, Maria.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&#225;lculo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álculos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31.547123958335" createdVersion="8" refreshedVersion="8" minRefreshableVersion="3" recordCount="295" xr:uid="{2CC4C23E-0CBA-4C5F-9DBF-71563E8B8C45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5909608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x v="0"/>
    <x v="0"/>
    <s v="Yes"/>
    <x v="0"/>
    <s v="Yes"/>
    <n v="20"/>
    <n v="5"/>
    <n v="60"/>
  </r>
  <r>
    <n v="3232"/>
    <x v="1"/>
    <x v="1"/>
    <d v="2024-01-15T00:00:00"/>
    <x v="1"/>
    <x v="1"/>
    <x v="1"/>
    <s v="No"/>
    <x v="1"/>
    <s v="No"/>
    <n v="0"/>
    <n v="0"/>
    <n v="5"/>
  </r>
  <r>
    <n v="3233"/>
    <x v="2"/>
    <x v="2"/>
    <d v="2024-02-10T00:00:00"/>
    <x v="0"/>
    <x v="2"/>
    <x v="2"/>
    <s v="No"/>
    <x v="1"/>
    <s v="Yes"/>
    <n v="20"/>
    <n v="10"/>
    <n v="20"/>
  </r>
  <r>
    <n v="3234"/>
    <x v="3"/>
    <x v="0"/>
    <d v="2024-02-20T00:00:00"/>
    <x v="1"/>
    <x v="0"/>
    <x v="0"/>
    <s v="Yes"/>
    <x v="0"/>
    <s v="Yes"/>
    <n v="20"/>
    <n v="3"/>
    <n v="62"/>
  </r>
  <r>
    <n v="3235"/>
    <x v="4"/>
    <x v="1"/>
    <d v="2024-03-05T00:00:00"/>
    <x v="0"/>
    <x v="1"/>
    <x v="0"/>
    <s v="No"/>
    <x v="1"/>
    <s v="No"/>
    <n v="0"/>
    <n v="1"/>
    <n v="4"/>
  </r>
  <r>
    <n v="3236"/>
    <x v="5"/>
    <x v="2"/>
    <d v="2024-03-02T00:00:00"/>
    <x v="1"/>
    <x v="2"/>
    <x v="0"/>
    <s v="No"/>
    <x v="1"/>
    <s v="Yes"/>
    <n v="20"/>
    <n v="2"/>
    <n v="28"/>
  </r>
  <r>
    <n v="3237"/>
    <x v="6"/>
    <x v="0"/>
    <d v="2024-03-03T00:00:00"/>
    <x v="0"/>
    <x v="0"/>
    <x v="2"/>
    <s v="Yes"/>
    <x v="0"/>
    <s v="Yes"/>
    <n v="20"/>
    <n v="10"/>
    <n v="55"/>
  </r>
  <r>
    <n v="3238"/>
    <x v="7"/>
    <x v="1"/>
    <d v="2024-03-04T00:00:00"/>
    <x v="0"/>
    <x v="1"/>
    <x v="1"/>
    <s v="No"/>
    <x v="1"/>
    <s v="No"/>
    <n v="0"/>
    <n v="0"/>
    <n v="5"/>
  </r>
  <r>
    <n v="3239"/>
    <x v="8"/>
    <x v="0"/>
    <d v="2024-03-05T00:00:00"/>
    <x v="1"/>
    <x v="0"/>
    <x v="0"/>
    <s v="Yes"/>
    <x v="0"/>
    <s v="Yes"/>
    <n v="20"/>
    <n v="5"/>
    <n v="60"/>
  </r>
  <r>
    <n v="3240"/>
    <x v="9"/>
    <x v="2"/>
    <d v="2024-03-06T00:00:00"/>
    <x v="0"/>
    <x v="2"/>
    <x v="2"/>
    <s v="No"/>
    <x v="1"/>
    <s v="Yes"/>
    <n v="20"/>
    <n v="15"/>
    <n v="15"/>
  </r>
  <r>
    <n v="3241"/>
    <x v="10"/>
    <x v="1"/>
    <d v="2024-03-07T00:00:00"/>
    <x v="1"/>
    <x v="1"/>
    <x v="0"/>
    <s v="No"/>
    <x v="1"/>
    <s v="No"/>
    <n v="0"/>
    <n v="1"/>
    <n v="4"/>
  </r>
  <r>
    <n v="3242"/>
    <x v="11"/>
    <x v="0"/>
    <d v="2024-03-08T00:00:00"/>
    <x v="0"/>
    <x v="0"/>
    <x v="1"/>
    <s v="Yes"/>
    <x v="0"/>
    <s v="Yes"/>
    <n v="20"/>
    <n v="20"/>
    <n v="45"/>
  </r>
  <r>
    <n v="3243"/>
    <x v="12"/>
    <x v="2"/>
    <d v="2024-03-09T00:00:00"/>
    <x v="1"/>
    <x v="2"/>
    <x v="0"/>
    <s v="No"/>
    <x v="1"/>
    <s v="Yes"/>
    <n v="20"/>
    <n v="10"/>
    <n v="20"/>
  </r>
  <r>
    <n v="3244"/>
    <x v="13"/>
    <x v="1"/>
    <d v="2024-03-10T00:00:00"/>
    <x v="0"/>
    <x v="1"/>
    <x v="2"/>
    <s v="No"/>
    <x v="1"/>
    <s v="No"/>
    <n v="0"/>
    <n v="0"/>
    <n v="5"/>
  </r>
  <r>
    <n v="3245"/>
    <x v="14"/>
    <x v="0"/>
    <d v="2024-03-11T00:00:00"/>
    <x v="1"/>
    <x v="0"/>
    <x v="0"/>
    <s v="Yes"/>
    <x v="0"/>
    <s v="Yes"/>
    <n v="20"/>
    <n v="8"/>
    <n v="57"/>
  </r>
  <r>
    <n v="3246"/>
    <x v="15"/>
    <x v="2"/>
    <d v="2024-03-12T00:00:00"/>
    <x v="0"/>
    <x v="2"/>
    <x v="1"/>
    <s v="No"/>
    <x v="1"/>
    <s v="Yes"/>
    <n v="20"/>
    <n v="12"/>
    <n v="18"/>
  </r>
  <r>
    <n v="3247"/>
    <x v="16"/>
    <x v="1"/>
    <d v="2024-03-13T00:00:00"/>
    <x v="1"/>
    <x v="1"/>
    <x v="0"/>
    <s v="No"/>
    <x v="1"/>
    <s v="No"/>
    <n v="0"/>
    <n v="2"/>
    <n v="3"/>
  </r>
  <r>
    <n v="3248"/>
    <x v="17"/>
    <x v="0"/>
    <d v="2024-03-14T00:00:00"/>
    <x v="0"/>
    <x v="0"/>
    <x v="2"/>
    <s v="Yes"/>
    <x v="0"/>
    <s v="Yes"/>
    <n v="20"/>
    <n v="7"/>
    <n v="58"/>
  </r>
  <r>
    <n v="3249"/>
    <x v="18"/>
    <x v="2"/>
    <d v="2024-03-15T00:00:00"/>
    <x v="1"/>
    <x v="2"/>
    <x v="0"/>
    <s v="No"/>
    <x v="1"/>
    <s v="Yes"/>
    <n v="20"/>
    <n v="5"/>
    <n v="25"/>
  </r>
  <r>
    <n v="3250"/>
    <x v="19"/>
    <x v="1"/>
    <d v="2024-03-16T00:00:00"/>
    <x v="0"/>
    <x v="1"/>
    <x v="1"/>
    <s v="No"/>
    <x v="1"/>
    <s v="No"/>
    <n v="0"/>
    <n v="0"/>
    <n v="5"/>
  </r>
  <r>
    <n v="3251"/>
    <x v="20"/>
    <x v="0"/>
    <d v="2024-03-17T00:00:00"/>
    <x v="1"/>
    <x v="0"/>
    <x v="0"/>
    <s v="Yes"/>
    <x v="0"/>
    <s v="Yes"/>
    <n v="20"/>
    <n v="3"/>
    <n v="62"/>
  </r>
  <r>
    <n v="3252"/>
    <x v="21"/>
    <x v="2"/>
    <d v="2024-03-18T00:00:00"/>
    <x v="0"/>
    <x v="2"/>
    <x v="2"/>
    <s v="No"/>
    <x v="1"/>
    <s v="Yes"/>
    <n v="20"/>
    <n v="15"/>
    <n v="15"/>
  </r>
  <r>
    <n v="3253"/>
    <x v="22"/>
    <x v="1"/>
    <d v="2024-03-19T00:00:00"/>
    <x v="1"/>
    <x v="1"/>
    <x v="0"/>
    <s v="No"/>
    <x v="1"/>
    <s v="No"/>
    <n v="0"/>
    <n v="1"/>
    <n v="4"/>
  </r>
  <r>
    <n v="3254"/>
    <x v="23"/>
    <x v="0"/>
    <d v="2024-03-20T00:00:00"/>
    <x v="0"/>
    <x v="0"/>
    <x v="1"/>
    <s v="Yes"/>
    <x v="0"/>
    <s v="Yes"/>
    <n v="20"/>
    <n v="20"/>
    <n v="45"/>
  </r>
  <r>
    <n v="3255"/>
    <x v="24"/>
    <x v="2"/>
    <d v="2024-03-21T00:00:00"/>
    <x v="1"/>
    <x v="2"/>
    <x v="0"/>
    <s v="No"/>
    <x v="1"/>
    <s v="Yes"/>
    <n v="20"/>
    <n v="10"/>
    <n v="20"/>
  </r>
  <r>
    <n v="3256"/>
    <x v="25"/>
    <x v="1"/>
    <d v="2024-03-22T00:00:00"/>
    <x v="0"/>
    <x v="1"/>
    <x v="2"/>
    <s v="No"/>
    <x v="1"/>
    <s v="No"/>
    <n v="0"/>
    <n v="0"/>
    <n v="5"/>
  </r>
  <r>
    <n v="3257"/>
    <x v="26"/>
    <x v="0"/>
    <d v="2024-03-23T00:00:00"/>
    <x v="1"/>
    <x v="0"/>
    <x v="0"/>
    <s v="Yes"/>
    <x v="0"/>
    <s v="Yes"/>
    <n v="20"/>
    <n v="5"/>
    <n v="60"/>
  </r>
  <r>
    <n v="3258"/>
    <x v="27"/>
    <x v="2"/>
    <d v="2024-03-24T00:00:00"/>
    <x v="0"/>
    <x v="2"/>
    <x v="1"/>
    <s v="No"/>
    <x v="1"/>
    <s v="Yes"/>
    <n v="20"/>
    <n v="15"/>
    <n v="15"/>
  </r>
  <r>
    <n v="3259"/>
    <x v="28"/>
    <x v="1"/>
    <d v="2024-03-25T00:00:00"/>
    <x v="1"/>
    <x v="1"/>
    <x v="0"/>
    <s v="No"/>
    <x v="1"/>
    <s v="No"/>
    <n v="0"/>
    <n v="1"/>
    <n v="4"/>
  </r>
  <r>
    <n v="3260"/>
    <x v="29"/>
    <x v="0"/>
    <d v="2024-03-26T00:00:00"/>
    <x v="0"/>
    <x v="0"/>
    <x v="2"/>
    <s v="Yes"/>
    <x v="0"/>
    <s v="Yes"/>
    <n v="20"/>
    <n v="7"/>
    <n v="58"/>
  </r>
  <r>
    <n v="3261"/>
    <x v="30"/>
    <x v="2"/>
    <d v="2024-03-27T00:00:00"/>
    <x v="1"/>
    <x v="2"/>
    <x v="0"/>
    <s v="No"/>
    <x v="1"/>
    <s v="Yes"/>
    <n v="20"/>
    <n v="10"/>
    <n v="20"/>
  </r>
  <r>
    <n v="3262"/>
    <x v="31"/>
    <x v="1"/>
    <d v="2024-03-28T00:00:00"/>
    <x v="0"/>
    <x v="1"/>
    <x v="1"/>
    <s v="No"/>
    <x v="1"/>
    <s v="No"/>
    <n v="0"/>
    <n v="0"/>
    <n v="5"/>
  </r>
  <r>
    <n v="3263"/>
    <x v="32"/>
    <x v="0"/>
    <d v="2024-03-29T00:00:00"/>
    <x v="1"/>
    <x v="0"/>
    <x v="0"/>
    <s v="Yes"/>
    <x v="0"/>
    <s v="Yes"/>
    <n v="20"/>
    <n v="3"/>
    <n v="62"/>
  </r>
  <r>
    <n v="3264"/>
    <x v="33"/>
    <x v="2"/>
    <d v="2024-03-30T00:00:00"/>
    <x v="0"/>
    <x v="2"/>
    <x v="2"/>
    <s v="No"/>
    <x v="1"/>
    <s v="Yes"/>
    <n v="20"/>
    <n v="15"/>
    <n v="15"/>
  </r>
  <r>
    <n v="3265"/>
    <x v="34"/>
    <x v="1"/>
    <d v="2024-03-31T00:00:00"/>
    <x v="1"/>
    <x v="1"/>
    <x v="0"/>
    <s v="No"/>
    <x v="1"/>
    <s v="No"/>
    <n v="0"/>
    <n v="1"/>
    <n v="4"/>
  </r>
  <r>
    <n v="3266"/>
    <x v="35"/>
    <x v="1"/>
    <d v="2024-04-01T00:00:00"/>
    <x v="0"/>
    <x v="1"/>
    <x v="0"/>
    <s v="No"/>
    <x v="1"/>
    <s v="No"/>
    <n v="0"/>
    <n v="0"/>
    <n v="5"/>
  </r>
  <r>
    <n v="3267"/>
    <x v="36"/>
    <x v="0"/>
    <d v="2024-04-02T00:00:00"/>
    <x v="1"/>
    <x v="0"/>
    <x v="2"/>
    <s v="Yes"/>
    <x v="0"/>
    <s v="Yes"/>
    <n v="20"/>
    <n v="7"/>
    <n v="58"/>
  </r>
  <r>
    <n v="3268"/>
    <x v="37"/>
    <x v="2"/>
    <d v="2024-04-03T00:00:00"/>
    <x v="0"/>
    <x v="2"/>
    <x v="1"/>
    <s v="No"/>
    <x v="1"/>
    <s v="Yes"/>
    <n v="20"/>
    <n v="10"/>
    <n v="20"/>
  </r>
  <r>
    <n v="3269"/>
    <x v="38"/>
    <x v="1"/>
    <d v="2024-04-04T00:00:00"/>
    <x v="1"/>
    <x v="1"/>
    <x v="2"/>
    <s v="No"/>
    <x v="1"/>
    <s v="No"/>
    <n v="0"/>
    <n v="1"/>
    <n v="4"/>
  </r>
  <r>
    <n v="3270"/>
    <x v="39"/>
    <x v="0"/>
    <d v="2024-04-05T00:00:00"/>
    <x v="0"/>
    <x v="0"/>
    <x v="0"/>
    <s v="Yes"/>
    <x v="0"/>
    <s v="Yes"/>
    <n v="20"/>
    <n v="15"/>
    <n v="50"/>
  </r>
  <r>
    <n v="3271"/>
    <x v="40"/>
    <x v="2"/>
    <d v="2024-04-06T00:00:00"/>
    <x v="1"/>
    <x v="2"/>
    <x v="0"/>
    <s v="No"/>
    <x v="1"/>
    <s v="Yes"/>
    <n v="20"/>
    <n v="5"/>
    <n v="25"/>
  </r>
  <r>
    <n v="3272"/>
    <x v="41"/>
    <x v="1"/>
    <d v="2024-04-07T00:00:00"/>
    <x v="0"/>
    <x v="1"/>
    <x v="1"/>
    <s v="No"/>
    <x v="1"/>
    <s v="No"/>
    <n v="0"/>
    <n v="0"/>
    <n v="5"/>
  </r>
  <r>
    <n v="3273"/>
    <x v="42"/>
    <x v="0"/>
    <d v="2024-04-08T00:00:00"/>
    <x v="1"/>
    <x v="0"/>
    <x v="2"/>
    <s v="Yes"/>
    <x v="0"/>
    <s v="Yes"/>
    <n v="20"/>
    <n v="20"/>
    <n v="45"/>
  </r>
  <r>
    <n v="3274"/>
    <x v="43"/>
    <x v="2"/>
    <d v="2024-04-09T00:00:00"/>
    <x v="0"/>
    <x v="2"/>
    <x v="2"/>
    <s v="No"/>
    <x v="1"/>
    <s v="Yes"/>
    <n v="20"/>
    <n v="12"/>
    <n v="18"/>
  </r>
  <r>
    <n v="3275"/>
    <x v="44"/>
    <x v="1"/>
    <d v="2024-04-10T00:00:00"/>
    <x v="1"/>
    <x v="1"/>
    <x v="0"/>
    <s v="No"/>
    <x v="1"/>
    <s v="No"/>
    <n v="0"/>
    <n v="2"/>
    <n v="3"/>
  </r>
  <r>
    <n v="3276"/>
    <x v="45"/>
    <x v="0"/>
    <d v="2024-04-11T00:00:00"/>
    <x v="0"/>
    <x v="0"/>
    <x v="1"/>
    <s v="Yes"/>
    <x v="0"/>
    <s v="Yes"/>
    <n v="20"/>
    <n v="5"/>
    <n v="60"/>
  </r>
  <r>
    <n v="3277"/>
    <x v="46"/>
    <x v="2"/>
    <d v="2024-04-12T00:00:00"/>
    <x v="1"/>
    <x v="2"/>
    <x v="0"/>
    <s v="No"/>
    <x v="1"/>
    <s v="Yes"/>
    <n v="20"/>
    <n v="10"/>
    <n v="20"/>
  </r>
  <r>
    <n v="3278"/>
    <x v="47"/>
    <x v="1"/>
    <d v="2024-04-13T00:00:00"/>
    <x v="0"/>
    <x v="1"/>
    <x v="2"/>
    <s v="No"/>
    <x v="1"/>
    <s v="No"/>
    <n v="0"/>
    <n v="0"/>
    <n v="5"/>
  </r>
  <r>
    <n v="3279"/>
    <x v="48"/>
    <x v="0"/>
    <d v="2024-04-14T00:00:00"/>
    <x v="1"/>
    <x v="0"/>
    <x v="0"/>
    <s v="Yes"/>
    <x v="0"/>
    <s v="Yes"/>
    <n v="20"/>
    <n v="3"/>
    <n v="62"/>
  </r>
  <r>
    <n v="3280"/>
    <x v="49"/>
    <x v="2"/>
    <d v="2024-04-15T00:00:00"/>
    <x v="0"/>
    <x v="2"/>
    <x v="1"/>
    <s v="No"/>
    <x v="1"/>
    <s v="Yes"/>
    <n v="20"/>
    <n v="15"/>
    <n v="15"/>
  </r>
  <r>
    <n v="3281"/>
    <x v="50"/>
    <x v="1"/>
    <d v="2024-04-16T00:00:00"/>
    <x v="1"/>
    <x v="1"/>
    <x v="0"/>
    <s v="No"/>
    <x v="1"/>
    <s v="No"/>
    <n v="0"/>
    <n v="1"/>
    <n v="4"/>
  </r>
  <r>
    <n v="3282"/>
    <x v="51"/>
    <x v="0"/>
    <d v="2024-04-17T00:00:00"/>
    <x v="0"/>
    <x v="0"/>
    <x v="2"/>
    <s v="Yes"/>
    <x v="0"/>
    <s v="Yes"/>
    <n v="20"/>
    <n v="7"/>
    <n v="58"/>
  </r>
  <r>
    <n v="3283"/>
    <x v="52"/>
    <x v="2"/>
    <d v="2024-04-18T00:00:00"/>
    <x v="1"/>
    <x v="2"/>
    <x v="0"/>
    <s v="No"/>
    <x v="1"/>
    <s v="Yes"/>
    <n v="20"/>
    <n v="10"/>
    <n v="20"/>
  </r>
  <r>
    <n v="3284"/>
    <x v="53"/>
    <x v="1"/>
    <d v="2024-04-19T00:00:00"/>
    <x v="0"/>
    <x v="1"/>
    <x v="1"/>
    <s v="No"/>
    <x v="1"/>
    <s v="No"/>
    <n v="0"/>
    <n v="0"/>
    <n v="5"/>
  </r>
  <r>
    <n v="3285"/>
    <x v="54"/>
    <x v="0"/>
    <d v="2024-04-20T00:00:00"/>
    <x v="1"/>
    <x v="0"/>
    <x v="0"/>
    <s v="Yes"/>
    <x v="0"/>
    <s v="Yes"/>
    <n v="20"/>
    <n v="20"/>
    <n v="45"/>
  </r>
  <r>
    <n v="3286"/>
    <x v="55"/>
    <x v="2"/>
    <d v="2024-04-21T00:00:00"/>
    <x v="0"/>
    <x v="2"/>
    <x v="2"/>
    <s v="No"/>
    <x v="1"/>
    <s v="Yes"/>
    <n v="20"/>
    <n v="15"/>
    <n v="15"/>
  </r>
  <r>
    <n v="3287"/>
    <x v="56"/>
    <x v="1"/>
    <d v="2024-04-22T00:00:00"/>
    <x v="1"/>
    <x v="1"/>
    <x v="0"/>
    <s v="No"/>
    <x v="1"/>
    <s v="No"/>
    <n v="0"/>
    <n v="1"/>
    <n v="4"/>
  </r>
  <r>
    <n v="3288"/>
    <x v="57"/>
    <x v="0"/>
    <d v="2024-04-23T00:00:00"/>
    <x v="0"/>
    <x v="0"/>
    <x v="1"/>
    <s v="Yes"/>
    <x v="0"/>
    <s v="Yes"/>
    <n v="20"/>
    <n v="3"/>
    <n v="62"/>
  </r>
  <r>
    <n v="3289"/>
    <x v="58"/>
    <x v="2"/>
    <d v="2024-04-24T00:00:00"/>
    <x v="1"/>
    <x v="2"/>
    <x v="0"/>
    <s v="No"/>
    <x v="1"/>
    <s v="Yes"/>
    <n v="20"/>
    <n v="10"/>
    <n v="20"/>
  </r>
  <r>
    <n v="3290"/>
    <x v="59"/>
    <x v="1"/>
    <d v="2024-04-25T00:00:00"/>
    <x v="0"/>
    <x v="1"/>
    <x v="2"/>
    <s v="No"/>
    <x v="1"/>
    <s v="No"/>
    <n v="0"/>
    <n v="0"/>
    <n v="5"/>
  </r>
  <r>
    <n v="3291"/>
    <x v="60"/>
    <x v="0"/>
    <d v="2024-04-26T00:00:00"/>
    <x v="1"/>
    <x v="0"/>
    <x v="0"/>
    <s v="Yes"/>
    <x v="0"/>
    <s v="Yes"/>
    <n v="20"/>
    <n v="5"/>
    <n v="60"/>
  </r>
  <r>
    <n v="3292"/>
    <x v="61"/>
    <x v="2"/>
    <d v="2024-04-27T00:00:00"/>
    <x v="0"/>
    <x v="2"/>
    <x v="1"/>
    <s v="No"/>
    <x v="1"/>
    <s v="Yes"/>
    <n v="20"/>
    <n v="15"/>
    <n v="15"/>
  </r>
  <r>
    <n v="3293"/>
    <x v="62"/>
    <x v="1"/>
    <d v="2024-04-28T00:00:00"/>
    <x v="1"/>
    <x v="1"/>
    <x v="0"/>
    <s v="No"/>
    <x v="1"/>
    <s v="No"/>
    <n v="0"/>
    <n v="1"/>
    <n v="4"/>
  </r>
  <r>
    <n v="3294"/>
    <x v="63"/>
    <x v="0"/>
    <d v="2024-04-29T00:00:00"/>
    <x v="0"/>
    <x v="0"/>
    <x v="2"/>
    <s v="Yes"/>
    <x v="0"/>
    <s v="Yes"/>
    <n v="20"/>
    <n v="20"/>
    <n v="45"/>
  </r>
  <r>
    <n v="3295"/>
    <x v="64"/>
    <x v="2"/>
    <d v="2024-04-30T00:00:00"/>
    <x v="1"/>
    <x v="2"/>
    <x v="0"/>
    <s v="No"/>
    <x v="1"/>
    <s v="Yes"/>
    <n v="20"/>
    <n v="5"/>
    <n v="25"/>
  </r>
  <r>
    <n v="3296"/>
    <x v="65"/>
    <x v="1"/>
    <d v="2024-05-01T00:00:00"/>
    <x v="1"/>
    <x v="1"/>
    <x v="0"/>
    <s v="No"/>
    <x v="1"/>
    <s v="No"/>
    <n v="0"/>
    <n v="0"/>
    <n v="5"/>
  </r>
  <r>
    <n v="3297"/>
    <x v="66"/>
    <x v="0"/>
    <d v="2024-05-02T00:00:00"/>
    <x v="0"/>
    <x v="0"/>
    <x v="2"/>
    <s v="Yes"/>
    <x v="0"/>
    <s v="Yes"/>
    <n v="20"/>
    <n v="7"/>
    <n v="58"/>
  </r>
  <r>
    <n v="3298"/>
    <x v="67"/>
    <x v="2"/>
    <d v="2024-05-03T00:00:00"/>
    <x v="1"/>
    <x v="2"/>
    <x v="1"/>
    <s v="No"/>
    <x v="1"/>
    <s v="Yes"/>
    <n v="20"/>
    <n v="10"/>
    <n v="20"/>
  </r>
  <r>
    <n v="3299"/>
    <x v="68"/>
    <x v="1"/>
    <d v="2024-05-04T00:00:00"/>
    <x v="0"/>
    <x v="1"/>
    <x v="2"/>
    <s v="No"/>
    <x v="1"/>
    <s v="No"/>
    <n v="0"/>
    <n v="1"/>
    <n v="4"/>
  </r>
  <r>
    <n v="3300"/>
    <x v="69"/>
    <x v="0"/>
    <d v="2024-05-05T00:00:00"/>
    <x v="1"/>
    <x v="0"/>
    <x v="0"/>
    <s v="Yes"/>
    <x v="0"/>
    <s v="Yes"/>
    <n v="20"/>
    <n v="15"/>
    <n v="50"/>
  </r>
  <r>
    <n v="3301"/>
    <x v="70"/>
    <x v="2"/>
    <d v="2024-05-06T00:00:00"/>
    <x v="0"/>
    <x v="2"/>
    <x v="0"/>
    <s v="No"/>
    <x v="1"/>
    <s v="Yes"/>
    <n v="20"/>
    <n v="5"/>
    <n v="25"/>
  </r>
  <r>
    <n v="3302"/>
    <x v="71"/>
    <x v="1"/>
    <d v="2024-05-07T00:00:00"/>
    <x v="1"/>
    <x v="1"/>
    <x v="1"/>
    <s v="No"/>
    <x v="1"/>
    <s v="No"/>
    <n v="0"/>
    <n v="0"/>
    <n v="5"/>
  </r>
  <r>
    <n v="3303"/>
    <x v="72"/>
    <x v="0"/>
    <d v="2024-05-08T00:00:00"/>
    <x v="0"/>
    <x v="0"/>
    <x v="2"/>
    <s v="Yes"/>
    <x v="0"/>
    <s v="Yes"/>
    <n v="20"/>
    <n v="20"/>
    <n v="45"/>
  </r>
  <r>
    <n v="3304"/>
    <x v="73"/>
    <x v="2"/>
    <d v="2024-05-09T00:00:00"/>
    <x v="1"/>
    <x v="2"/>
    <x v="2"/>
    <s v="No"/>
    <x v="1"/>
    <s v="Yes"/>
    <n v="20"/>
    <n v="12"/>
    <n v="18"/>
  </r>
  <r>
    <n v="3305"/>
    <x v="74"/>
    <x v="1"/>
    <d v="2024-05-10T00:00:00"/>
    <x v="0"/>
    <x v="1"/>
    <x v="0"/>
    <s v="No"/>
    <x v="1"/>
    <s v="No"/>
    <n v="0"/>
    <n v="2"/>
    <n v="3"/>
  </r>
  <r>
    <n v="3306"/>
    <x v="75"/>
    <x v="0"/>
    <d v="2024-05-11T00:00:00"/>
    <x v="1"/>
    <x v="0"/>
    <x v="1"/>
    <s v="Yes"/>
    <x v="0"/>
    <s v="Yes"/>
    <n v="20"/>
    <n v="5"/>
    <n v="60"/>
  </r>
  <r>
    <n v="3307"/>
    <x v="76"/>
    <x v="2"/>
    <d v="2024-05-12T00:00:00"/>
    <x v="0"/>
    <x v="2"/>
    <x v="0"/>
    <s v="No"/>
    <x v="1"/>
    <s v="Yes"/>
    <n v="20"/>
    <n v="10"/>
    <n v="20"/>
  </r>
  <r>
    <n v="3308"/>
    <x v="77"/>
    <x v="1"/>
    <d v="2024-05-13T00:00:00"/>
    <x v="1"/>
    <x v="1"/>
    <x v="2"/>
    <s v="No"/>
    <x v="1"/>
    <s v="No"/>
    <n v="0"/>
    <n v="0"/>
    <n v="5"/>
  </r>
  <r>
    <n v="3309"/>
    <x v="78"/>
    <x v="0"/>
    <d v="2024-05-14T00:00:00"/>
    <x v="0"/>
    <x v="0"/>
    <x v="0"/>
    <s v="Yes"/>
    <x v="0"/>
    <s v="Yes"/>
    <n v="20"/>
    <n v="3"/>
    <n v="62"/>
  </r>
  <r>
    <n v="3310"/>
    <x v="79"/>
    <x v="2"/>
    <d v="2024-05-15T00:00:00"/>
    <x v="1"/>
    <x v="2"/>
    <x v="1"/>
    <s v="No"/>
    <x v="1"/>
    <s v="Yes"/>
    <n v="20"/>
    <n v="15"/>
    <n v="15"/>
  </r>
  <r>
    <n v="3311"/>
    <x v="80"/>
    <x v="1"/>
    <d v="2024-05-16T00:00:00"/>
    <x v="0"/>
    <x v="1"/>
    <x v="0"/>
    <s v="No"/>
    <x v="1"/>
    <s v="No"/>
    <n v="0"/>
    <n v="1"/>
    <n v="4"/>
  </r>
  <r>
    <n v="3312"/>
    <x v="81"/>
    <x v="0"/>
    <d v="2024-05-17T00:00:00"/>
    <x v="1"/>
    <x v="0"/>
    <x v="2"/>
    <s v="Yes"/>
    <x v="0"/>
    <s v="Yes"/>
    <n v="20"/>
    <n v="7"/>
    <n v="58"/>
  </r>
  <r>
    <n v="3313"/>
    <x v="82"/>
    <x v="2"/>
    <d v="2024-05-18T00:00:00"/>
    <x v="0"/>
    <x v="2"/>
    <x v="0"/>
    <s v="No"/>
    <x v="1"/>
    <s v="Yes"/>
    <n v="20"/>
    <n v="10"/>
    <n v="20"/>
  </r>
  <r>
    <n v="3314"/>
    <x v="83"/>
    <x v="1"/>
    <d v="2024-05-19T00:00:00"/>
    <x v="1"/>
    <x v="1"/>
    <x v="1"/>
    <s v="No"/>
    <x v="1"/>
    <s v="No"/>
    <n v="0"/>
    <n v="0"/>
    <n v="5"/>
  </r>
  <r>
    <n v="3315"/>
    <x v="84"/>
    <x v="0"/>
    <d v="2024-05-20T00:00:00"/>
    <x v="0"/>
    <x v="0"/>
    <x v="0"/>
    <s v="Yes"/>
    <x v="0"/>
    <s v="Yes"/>
    <n v="20"/>
    <n v="20"/>
    <n v="45"/>
  </r>
  <r>
    <n v="3316"/>
    <x v="85"/>
    <x v="2"/>
    <d v="2024-05-21T00:00:00"/>
    <x v="1"/>
    <x v="2"/>
    <x v="2"/>
    <s v="No"/>
    <x v="1"/>
    <s v="Yes"/>
    <n v="20"/>
    <n v="15"/>
    <n v="15"/>
  </r>
  <r>
    <n v="3317"/>
    <x v="86"/>
    <x v="1"/>
    <d v="2024-05-22T00:00:00"/>
    <x v="0"/>
    <x v="1"/>
    <x v="0"/>
    <s v="No"/>
    <x v="1"/>
    <s v="No"/>
    <n v="0"/>
    <n v="1"/>
    <n v="4"/>
  </r>
  <r>
    <n v="3318"/>
    <x v="87"/>
    <x v="0"/>
    <d v="2024-05-23T00:00:00"/>
    <x v="1"/>
    <x v="0"/>
    <x v="1"/>
    <s v="Yes"/>
    <x v="0"/>
    <s v="Yes"/>
    <n v="20"/>
    <n v="3"/>
    <n v="62"/>
  </r>
  <r>
    <n v="3319"/>
    <x v="88"/>
    <x v="2"/>
    <d v="2024-05-24T00:00:00"/>
    <x v="0"/>
    <x v="2"/>
    <x v="0"/>
    <s v="No"/>
    <x v="1"/>
    <s v="Yes"/>
    <n v="20"/>
    <n v="10"/>
    <n v="20"/>
  </r>
  <r>
    <n v="3320"/>
    <x v="89"/>
    <x v="1"/>
    <d v="2024-05-25T00:00:00"/>
    <x v="1"/>
    <x v="1"/>
    <x v="2"/>
    <s v="No"/>
    <x v="1"/>
    <s v="No"/>
    <n v="0"/>
    <n v="0"/>
    <n v="5"/>
  </r>
  <r>
    <n v="3321"/>
    <x v="90"/>
    <x v="0"/>
    <d v="2024-05-26T00:00:00"/>
    <x v="0"/>
    <x v="0"/>
    <x v="0"/>
    <s v="Yes"/>
    <x v="0"/>
    <s v="Yes"/>
    <n v="20"/>
    <n v="5"/>
    <n v="60"/>
  </r>
  <r>
    <n v="3322"/>
    <x v="91"/>
    <x v="2"/>
    <d v="2024-05-27T00:00:00"/>
    <x v="1"/>
    <x v="2"/>
    <x v="1"/>
    <s v="No"/>
    <x v="1"/>
    <s v="Yes"/>
    <n v="20"/>
    <n v="15"/>
    <n v="15"/>
  </r>
  <r>
    <n v="3323"/>
    <x v="92"/>
    <x v="1"/>
    <d v="2024-05-28T00:00:00"/>
    <x v="0"/>
    <x v="1"/>
    <x v="0"/>
    <s v="No"/>
    <x v="1"/>
    <s v="No"/>
    <n v="0"/>
    <n v="1"/>
    <n v="4"/>
  </r>
  <r>
    <n v="3324"/>
    <x v="93"/>
    <x v="0"/>
    <d v="2024-05-29T00:00:00"/>
    <x v="1"/>
    <x v="0"/>
    <x v="2"/>
    <s v="Yes"/>
    <x v="0"/>
    <s v="Yes"/>
    <n v="20"/>
    <n v="20"/>
    <n v="45"/>
  </r>
  <r>
    <n v="3325"/>
    <x v="94"/>
    <x v="2"/>
    <d v="2024-05-30T00:00:00"/>
    <x v="0"/>
    <x v="2"/>
    <x v="2"/>
    <s v="No"/>
    <x v="1"/>
    <s v="Yes"/>
    <n v="20"/>
    <n v="15"/>
    <n v="15"/>
  </r>
  <r>
    <n v="3326"/>
    <x v="95"/>
    <x v="1"/>
    <d v="2024-05-31T00:00:00"/>
    <x v="1"/>
    <x v="1"/>
    <x v="1"/>
    <s v="No"/>
    <x v="1"/>
    <s v="No"/>
    <n v="0"/>
    <n v="0"/>
    <n v="5"/>
  </r>
  <r>
    <n v="3327"/>
    <x v="96"/>
    <x v="0"/>
    <d v="2024-06-01T00:00:00"/>
    <x v="0"/>
    <x v="0"/>
    <x v="0"/>
    <s v="Yes"/>
    <x v="0"/>
    <s v="Yes"/>
    <n v="20"/>
    <n v="7"/>
    <n v="58"/>
  </r>
  <r>
    <n v="3328"/>
    <x v="97"/>
    <x v="2"/>
    <d v="2024-06-02T00:00:00"/>
    <x v="1"/>
    <x v="2"/>
    <x v="1"/>
    <s v="No"/>
    <x v="1"/>
    <s v="Yes"/>
    <n v="20"/>
    <n v="10"/>
    <n v="20"/>
  </r>
  <r>
    <n v="3329"/>
    <x v="98"/>
    <x v="1"/>
    <d v="2024-06-03T00:00:00"/>
    <x v="0"/>
    <x v="1"/>
    <x v="2"/>
    <s v="No"/>
    <x v="1"/>
    <s v="No"/>
    <n v="0"/>
    <n v="1"/>
    <n v="4"/>
  </r>
  <r>
    <n v="3330"/>
    <x v="99"/>
    <x v="0"/>
    <d v="2024-06-04T00:00:00"/>
    <x v="1"/>
    <x v="0"/>
    <x v="0"/>
    <s v="Yes"/>
    <x v="0"/>
    <s v="Yes"/>
    <n v="20"/>
    <n v="15"/>
    <n v="50"/>
  </r>
  <r>
    <n v="3331"/>
    <x v="100"/>
    <x v="2"/>
    <d v="2024-06-05T00:00:00"/>
    <x v="0"/>
    <x v="2"/>
    <x v="0"/>
    <s v="No"/>
    <x v="1"/>
    <s v="Yes"/>
    <n v="20"/>
    <n v="5"/>
    <n v="25"/>
  </r>
  <r>
    <n v="3332"/>
    <x v="101"/>
    <x v="1"/>
    <d v="2024-06-06T00:00:00"/>
    <x v="1"/>
    <x v="1"/>
    <x v="1"/>
    <s v="No"/>
    <x v="1"/>
    <s v="No"/>
    <n v="0"/>
    <n v="0"/>
    <n v="5"/>
  </r>
  <r>
    <n v="3333"/>
    <x v="102"/>
    <x v="0"/>
    <d v="2024-06-07T00:00:00"/>
    <x v="0"/>
    <x v="0"/>
    <x v="2"/>
    <s v="Yes"/>
    <x v="0"/>
    <s v="Yes"/>
    <n v="20"/>
    <n v="20"/>
    <n v="45"/>
  </r>
  <r>
    <n v="3334"/>
    <x v="103"/>
    <x v="2"/>
    <d v="2024-06-08T00:00:00"/>
    <x v="1"/>
    <x v="2"/>
    <x v="2"/>
    <s v="No"/>
    <x v="1"/>
    <s v="Yes"/>
    <n v="20"/>
    <n v="12"/>
    <n v="18"/>
  </r>
  <r>
    <n v="3335"/>
    <x v="104"/>
    <x v="1"/>
    <d v="2024-06-09T00:00:00"/>
    <x v="0"/>
    <x v="1"/>
    <x v="0"/>
    <s v="No"/>
    <x v="1"/>
    <s v="No"/>
    <n v="0"/>
    <n v="2"/>
    <n v="3"/>
  </r>
  <r>
    <n v="3336"/>
    <x v="105"/>
    <x v="1"/>
    <d v="2024-06-10T00:00:00"/>
    <x v="0"/>
    <x v="1"/>
    <x v="0"/>
    <s v="No"/>
    <x v="1"/>
    <s v="No"/>
    <n v="0"/>
    <n v="0"/>
    <n v="5"/>
  </r>
  <r>
    <n v="3337"/>
    <x v="106"/>
    <x v="0"/>
    <d v="2024-06-11T00:00:00"/>
    <x v="1"/>
    <x v="0"/>
    <x v="2"/>
    <s v="Yes"/>
    <x v="0"/>
    <s v="Yes"/>
    <n v="20"/>
    <n v="7"/>
    <n v="58"/>
  </r>
  <r>
    <n v="3338"/>
    <x v="107"/>
    <x v="2"/>
    <d v="2024-06-12T00:00:00"/>
    <x v="0"/>
    <x v="2"/>
    <x v="1"/>
    <s v="No"/>
    <x v="1"/>
    <s v="Yes"/>
    <n v="20"/>
    <n v="10"/>
    <n v="20"/>
  </r>
  <r>
    <n v="3339"/>
    <x v="108"/>
    <x v="1"/>
    <d v="2024-06-13T00:00:00"/>
    <x v="1"/>
    <x v="1"/>
    <x v="2"/>
    <s v="No"/>
    <x v="1"/>
    <s v="No"/>
    <n v="0"/>
    <n v="1"/>
    <n v="4"/>
  </r>
  <r>
    <n v="3340"/>
    <x v="109"/>
    <x v="0"/>
    <d v="2024-06-14T00:00:00"/>
    <x v="0"/>
    <x v="0"/>
    <x v="0"/>
    <s v="Yes"/>
    <x v="0"/>
    <s v="Yes"/>
    <n v="20"/>
    <n v="15"/>
    <n v="50"/>
  </r>
  <r>
    <n v="3341"/>
    <x v="110"/>
    <x v="2"/>
    <d v="2024-06-15T00:00:00"/>
    <x v="1"/>
    <x v="2"/>
    <x v="0"/>
    <s v="No"/>
    <x v="1"/>
    <s v="Yes"/>
    <n v="20"/>
    <n v="5"/>
    <n v="25"/>
  </r>
  <r>
    <n v="3342"/>
    <x v="111"/>
    <x v="1"/>
    <d v="2024-06-16T00:00:00"/>
    <x v="0"/>
    <x v="1"/>
    <x v="1"/>
    <s v="No"/>
    <x v="1"/>
    <s v="No"/>
    <n v="0"/>
    <n v="0"/>
    <n v="5"/>
  </r>
  <r>
    <n v="3343"/>
    <x v="112"/>
    <x v="0"/>
    <d v="2024-06-17T00:00:00"/>
    <x v="1"/>
    <x v="0"/>
    <x v="2"/>
    <s v="Yes"/>
    <x v="0"/>
    <s v="Yes"/>
    <n v="20"/>
    <n v="20"/>
    <n v="45"/>
  </r>
  <r>
    <n v="3344"/>
    <x v="113"/>
    <x v="2"/>
    <d v="2024-06-18T00:00:00"/>
    <x v="0"/>
    <x v="2"/>
    <x v="2"/>
    <s v="No"/>
    <x v="1"/>
    <s v="Yes"/>
    <n v="20"/>
    <n v="12"/>
    <n v="18"/>
  </r>
  <r>
    <n v="3345"/>
    <x v="114"/>
    <x v="1"/>
    <d v="2024-06-19T00:00:00"/>
    <x v="1"/>
    <x v="1"/>
    <x v="0"/>
    <s v="No"/>
    <x v="1"/>
    <s v="No"/>
    <n v="0"/>
    <n v="2"/>
    <n v="3"/>
  </r>
  <r>
    <n v="3346"/>
    <x v="115"/>
    <x v="0"/>
    <d v="2024-06-20T00:00:00"/>
    <x v="0"/>
    <x v="0"/>
    <x v="1"/>
    <s v="Yes"/>
    <x v="0"/>
    <s v="Yes"/>
    <n v="20"/>
    <n v="5"/>
    <n v="60"/>
  </r>
  <r>
    <n v="3347"/>
    <x v="116"/>
    <x v="2"/>
    <d v="2024-06-21T00:00:00"/>
    <x v="1"/>
    <x v="2"/>
    <x v="0"/>
    <s v="No"/>
    <x v="1"/>
    <s v="Yes"/>
    <n v="20"/>
    <n v="10"/>
    <n v="20"/>
  </r>
  <r>
    <n v="3348"/>
    <x v="117"/>
    <x v="1"/>
    <d v="2024-06-22T00:00:00"/>
    <x v="0"/>
    <x v="1"/>
    <x v="2"/>
    <s v="No"/>
    <x v="1"/>
    <s v="No"/>
    <n v="0"/>
    <n v="0"/>
    <n v="5"/>
  </r>
  <r>
    <n v="3349"/>
    <x v="93"/>
    <x v="0"/>
    <d v="2024-06-23T00:00:00"/>
    <x v="1"/>
    <x v="0"/>
    <x v="0"/>
    <s v="Yes"/>
    <x v="0"/>
    <s v="Yes"/>
    <n v="20"/>
    <n v="3"/>
    <n v="62"/>
  </r>
  <r>
    <n v="3350"/>
    <x v="118"/>
    <x v="2"/>
    <d v="2024-06-24T00:00:00"/>
    <x v="0"/>
    <x v="2"/>
    <x v="1"/>
    <s v="No"/>
    <x v="1"/>
    <s v="Yes"/>
    <n v="20"/>
    <n v="15"/>
    <n v="15"/>
  </r>
  <r>
    <n v="3351"/>
    <x v="119"/>
    <x v="1"/>
    <d v="2024-06-25T00:00:00"/>
    <x v="1"/>
    <x v="1"/>
    <x v="0"/>
    <s v="No"/>
    <x v="1"/>
    <s v="No"/>
    <n v="0"/>
    <n v="1"/>
    <n v="4"/>
  </r>
  <r>
    <n v="3352"/>
    <x v="120"/>
    <x v="0"/>
    <d v="2024-06-26T00:00:00"/>
    <x v="0"/>
    <x v="0"/>
    <x v="2"/>
    <s v="Yes"/>
    <x v="0"/>
    <s v="Yes"/>
    <n v="20"/>
    <n v="7"/>
    <n v="58"/>
  </r>
  <r>
    <n v="3353"/>
    <x v="121"/>
    <x v="2"/>
    <d v="2024-06-27T00:00:00"/>
    <x v="1"/>
    <x v="2"/>
    <x v="0"/>
    <s v="No"/>
    <x v="1"/>
    <s v="Yes"/>
    <n v="20"/>
    <n v="10"/>
    <n v="20"/>
  </r>
  <r>
    <n v="3354"/>
    <x v="122"/>
    <x v="1"/>
    <d v="2024-06-28T00:00:00"/>
    <x v="0"/>
    <x v="1"/>
    <x v="1"/>
    <s v="No"/>
    <x v="1"/>
    <s v="No"/>
    <n v="0"/>
    <n v="0"/>
    <n v="5"/>
  </r>
  <r>
    <n v="3355"/>
    <x v="123"/>
    <x v="0"/>
    <d v="2024-06-29T00:00:00"/>
    <x v="1"/>
    <x v="0"/>
    <x v="0"/>
    <s v="Yes"/>
    <x v="0"/>
    <s v="Yes"/>
    <n v="20"/>
    <n v="20"/>
    <n v="45"/>
  </r>
  <r>
    <n v="3356"/>
    <x v="124"/>
    <x v="2"/>
    <d v="2024-06-30T00:00:00"/>
    <x v="0"/>
    <x v="2"/>
    <x v="2"/>
    <s v="No"/>
    <x v="1"/>
    <s v="Yes"/>
    <n v="20"/>
    <n v="15"/>
    <n v="15"/>
  </r>
  <r>
    <n v="3357"/>
    <x v="125"/>
    <x v="1"/>
    <d v="2024-07-01T00:00:00"/>
    <x v="1"/>
    <x v="1"/>
    <x v="0"/>
    <s v="No"/>
    <x v="1"/>
    <s v="No"/>
    <n v="0"/>
    <n v="1"/>
    <n v="4"/>
  </r>
  <r>
    <n v="3358"/>
    <x v="126"/>
    <x v="0"/>
    <d v="2024-07-02T00:00:00"/>
    <x v="0"/>
    <x v="0"/>
    <x v="1"/>
    <s v="Yes"/>
    <x v="0"/>
    <s v="Yes"/>
    <n v="20"/>
    <n v="3"/>
    <n v="62"/>
  </r>
  <r>
    <n v="3359"/>
    <x v="127"/>
    <x v="2"/>
    <d v="2024-07-03T00:00:00"/>
    <x v="1"/>
    <x v="2"/>
    <x v="0"/>
    <s v="No"/>
    <x v="1"/>
    <s v="Yes"/>
    <n v="20"/>
    <n v="10"/>
    <n v="20"/>
  </r>
  <r>
    <n v="3360"/>
    <x v="128"/>
    <x v="1"/>
    <d v="2024-07-04T00:00:00"/>
    <x v="0"/>
    <x v="1"/>
    <x v="2"/>
    <s v="No"/>
    <x v="1"/>
    <s v="No"/>
    <n v="0"/>
    <n v="0"/>
    <n v="5"/>
  </r>
  <r>
    <n v="3361"/>
    <x v="129"/>
    <x v="0"/>
    <d v="2024-07-05T00:00:00"/>
    <x v="1"/>
    <x v="0"/>
    <x v="0"/>
    <s v="Yes"/>
    <x v="0"/>
    <s v="Yes"/>
    <n v="20"/>
    <n v="15"/>
    <n v="50"/>
  </r>
  <r>
    <n v="3362"/>
    <x v="130"/>
    <x v="2"/>
    <d v="2024-07-06T00:00:00"/>
    <x v="0"/>
    <x v="2"/>
    <x v="1"/>
    <s v="No"/>
    <x v="1"/>
    <s v="Yes"/>
    <n v="20"/>
    <n v="15"/>
    <n v="15"/>
  </r>
  <r>
    <n v="3363"/>
    <x v="131"/>
    <x v="1"/>
    <d v="2024-07-07T00:00:00"/>
    <x v="1"/>
    <x v="1"/>
    <x v="0"/>
    <s v="No"/>
    <x v="1"/>
    <s v="No"/>
    <n v="0"/>
    <n v="1"/>
    <n v="4"/>
  </r>
  <r>
    <n v="3364"/>
    <x v="132"/>
    <x v="0"/>
    <d v="2024-07-08T00:00:00"/>
    <x v="0"/>
    <x v="0"/>
    <x v="2"/>
    <s v="Yes"/>
    <x v="0"/>
    <s v="Yes"/>
    <n v="20"/>
    <n v="7"/>
    <n v="58"/>
  </r>
  <r>
    <n v="3365"/>
    <x v="133"/>
    <x v="2"/>
    <d v="2024-07-09T00:00:00"/>
    <x v="1"/>
    <x v="2"/>
    <x v="0"/>
    <s v="No"/>
    <x v="1"/>
    <s v="Yes"/>
    <n v="20"/>
    <n v="10"/>
    <n v="20"/>
  </r>
  <r>
    <n v="3366"/>
    <x v="134"/>
    <x v="1"/>
    <d v="2024-07-10T00:00:00"/>
    <x v="0"/>
    <x v="1"/>
    <x v="0"/>
    <s v="No"/>
    <x v="1"/>
    <s v="No"/>
    <n v="0"/>
    <n v="0"/>
    <n v="5"/>
  </r>
  <r>
    <n v="3367"/>
    <x v="135"/>
    <x v="0"/>
    <d v="2024-07-11T00:00:00"/>
    <x v="1"/>
    <x v="0"/>
    <x v="2"/>
    <s v="Yes"/>
    <x v="0"/>
    <s v="Yes"/>
    <n v="20"/>
    <n v="7"/>
    <n v="58"/>
  </r>
  <r>
    <n v="3368"/>
    <x v="136"/>
    <x v="2"/>
    <d v="2024-07-12T00:00:00"/>
    <x v="0"/>
    <x v="2"/>
    <x v="1"/>
    <s v="No"/>
    <x v="1"/>
    <s v="Yes"/>
    <n v="20"/>
    <n v="10"/>
    <n v="20"/>
  </r>
  <r>
    <n v="3369"/>
    <x v="137"/>
    <x v="1"/>
    <d v="2024-07-13T00:00:00"/>
    <x v="1"/>
    <x v="1"/>
    <x v="2"/>
    <s v="No"/>
    <x v="1"/>
    <s v="No"/>
    <n v="0"/>
    <n v="1"/>
    <n v="4"/>
  </r>
  <r>
    <n v="3370"/>
    <x v="138"/>
    <x v="0"/>
    <d v="2024-07-14T00:00:00"/>
    <x v="0"/>
    <x v="0"/>
    <x v="0"/>
    <s v="Yes"/>
    <x v="0"/>
    <s v="Yes"/>
    <n v="20"/>
    <n v="15"/>
    <n v="50"/>
  </r>
  <r>
    <n v="3371"/>
    <x v="139"/>
    <x v="2"/>
    <d v="2024-07-15T00:00:00"/>
    <x v="1"/>
    <x v="2"/>
    <x v="0"/>
    <s v="No"/>
    <x v="1"/>
    <s v="Yes"/>
    <n v="20"/>
    <n v="5"/>
    <n v="25"/>
  </r>
  <r>
    <n v="3372"/>
    <x v="140"/>
    <x v="1"/>
    <d v="2024-07-16T00:00:00"/>
    <x v="0"/>
    <x v="1"/>
    <x v="1"/>
    <s v="No"/>
    <x v="1"/>
    <s v="No"/>
    <n v="0"/>
    <n v="0"/>
    <n v="5"/>
  </r>
  <r>
    <n v="3373"/>
    <x v="141"/>
    <x v="0"/>
    <d v="2024-07-17T00:00:00"/>
    <x v="1"/>
    <x v="0"/>
    <x v="2"/>
    <s v="Yes"/>
    <x v="0"/>
    <s v="Yes"/>
    <n v="20"/>
    <n v="20"/>
    <n v="45"/>
  </r>
  <r>
    <n v="3374"/>
    <x v="142"/>
    <x v="2"/>
    <d v="2024-07-18T00:00:00"/>
    <x v="0"/>
    <x v="2"/>
    <x v="2"/>
    <s v="No"/>
    <x v="1"/>
    <s v="Yes"/>
    <n v="20"/>
    <n v="12"/>
    <n v="18"/>
  </r>
  <r>
    <n v="3375"/>
    <x v="143"/>
    <x v="1"/>
    <d v="2024-07-19T00:00:00"/>
    <x v="1"/>
    <x v="1"/>
    <x v="0"/>
    <s v="No"/>
    <x v="1"/>
    <s v="No"/>
    <n v="0"/>
    <n v="2"/>
    <n v="3"/>
  </r>
  <r>
    <n v="3376"/>
    <x v="144"/>
    <x v="0"/>
    <d v="2024-07-20T00:00:00"/>
    <x v="0"/>
    <x v="0"/>
    <x v="1"/>
    <s v="Yes"/>
    <x v="0"/>
    <s v="Yes"/>
    <n v="20"/>
    <n v="5"/>
    <n v="60"/>
  </r>
  <r>
    <n v="3377"/>
    <x v="145"/>
    <x v="2"/>
    <d v="2024-07-21T00:00:00"/>
    <x v="1"/>
    <x v="2"/>
    <x v="0"/>
    <s v="No"/>
    <x v="1"/>
    <s v="Yes"/>
    <n v="20"/>
    <n v="10"/>
    <n v="20"/>
  </r>
  <r>
    <n v="3378"/>
    <x v="146"/>
    <x v="1"/>
    <d v="2024-07-22T00:00:00"/>
    <x v="0"/>
    <x v="1"/>
    <x v="2"/>
    <s v="No"/>
    <x v="1"/>
    <s v="No"/>
    <n v="0"/>
    <n v="0"/>
    <n v="5"/>
  </r>
  <r>
    <n v="3379"/>
    <x v="147"/>
    <x v="0"/>
    <d v="2024-07-23T00:00:00"/>
    <x v="1"/>
    <x v="0"/>
    <x v="0"/>
    <s v="Yes"/>
    <x v="0"/>
    <s v="Yes"/>
    <n v="20"/>
    <n v="3"/>
    <n v="62"/>
  </r>
  <r>
    <n v="3380"/>
    <x v="148"/>
    <x v="2"/>
    <d v="2024-07-24T00:00:00"/>
    <x v="0"/>
    <x v="2"/>
    <x v="1"/>
    <s v="No"/>
    <x v="1"/>
    <s v="Yes"/>
    <n v="20"/>
    <n v="15"/>
    <n v="15"/>
  </r>
  <r>
    <n v="3381"/>
    <x v="149"/>
    <x v="1"/>
    <d v="2024-07-25T00:00:00"/>
    <x v="1"/>
    <x v="1"/>
    <x v="0"/>
    <s v="No"/>
    <x v="1"/>
    <s v="No"/>
    <n v="0"/>
    <n v="1"/>
    <n v="4"/>
  </r>
  <r>
    <n v="3382"/>
    <x v="150"/>
    <x v="0"/>
    <d v="2024-07-26T00:00:00"/>
    <x v="0"/>
    <x v="0"/>
    <x v="2"/>
    <s v="Yes"/>
    <x v="0"/>
    <s v="Yes"/>
    <n v="20"/>
    <n v="7"/>
    <n v="58"/>
  </r>
  <r>
    <n v="3383"/>
    <x v="151"/>
    <x v="2"/>
    <d v="2024-07-27T00:00:00"/>
    <x v="1"/>
    <x v="2"/>
    <x v="0"/>
    <s v="No"/>
    <x v="1"/>
    <s v="Yes"/>
    <n v="20"/>
    <n v="10"/>
    <n v="20"/>
  </r>
  <r>
    <n v="3384"/>
    <x v="152"/>
    <x v="1"/>
    <d v="2024-07-28T00:00:00"/>
    <x v="0"/>
    <x v="1"/>
    <x v="1"/>
    <s v="No"/>
    <x v="1"/>
    <s v="No"/>
    <n v="0"/>
    <n v="0"/>
    <n v="5"/>
  </r>
  <r>
    <n v="3385"/>
    <x v="153"/>
    <x v="0"/>
    <d v="2024-07-29T00:00:00"/>
    <x v="1"/>
    <x v="0"/>
    <x v="0"/>
    <s v="Yes"/>
    <x v="0"/>
    <s v="Yes"/>
    <n v="20"/>
    <n v="20"/>
    <n v="45"/>
  </r>
  <r>
    <n v="3386"/>
    <x v="154"/>
    <x v="2"/>
    <d v="2024-07-30T00:00:00"/>
    <x v="0"/>
    <x v="2"/>
    <x v="2"/>
    <s v="No"/>
    <x v="1"/>
    <s v="Yes"/>
    <n v="20"/>
    <n v="15"/>
    <n v="15"/>
  </r>
  <r>
    <n v="3387"/>
    <x v="155"/>
    <x v="1"/>
    <d v="2024-07-31T00:00:00"/>
    <x v="1"/>
    <x v="1"/>
    <x v="0"/>
    <s v="No"/>
    <x v="1"/>
    <s v="No"/>
    <n v="0"/>
    <n v="1"/>
    <n v="4"/>
  </r>
  <r>
    <n v="3388"/>
    <x v="156"/>
    <x v="0"/>
    <d v="2024-08-01T00:00:00"/>
    <x v="0"/>
    <x v="0"/>
    <x v="1"/>
    <s v="Yes"/>
    <x v="0"/>
    <s v="Yes"/>
    <n v="20"/>
    <n v="3"/>
    <n v="62"/>
  </r>
  <r>
    <n v="3389"/>
    <x v="157"/>
    <x v="2"/>
    <d v="2024-08-02T00:00:00"/>
    <x v="1"/>
    <x v="2"/>
    <x v="0"/>
    <s v="No"/>
    <x v="1"/>
    <s v="Yes"/>
    <n v="20"/>
    <n v="10"/>
    <n v="20"/>
  </r>
  <r>
    <n v="3390"/>
    <x v="158"/>
    <x v="1"/>
    <d v="2024-08-03T00:00:00"/>
    <x v="0"/>
    <x v="1"/>
    <x v="2"/>
    <s v="No"/>
    <x v="1"/>
    <s v="No"/>
    <n v="0"/>
    <n v="0"/>
    <n v="5"/>
  </r>
  <r>
    <n v="3391"/>
    <x v="58"/>
    <x v="0"/>
    <d v="2024-08-04T00:00:00"/>
    <x v="1"/>
    <x v="0"/>
    <x v="0"/>
    <s v="Yes"/>
    <x v="0"/>
    <s v="Yes"/>
    <n v="20"/>
    <n v="15"/>
    <n v="50"/>
  </r>
  <r>
    <n v="3392"/>
    <x v="159"/>
    <x v="2"/>
    <d v="2024-08-05T00:00:00"/>
    <x v="0"/>
    <x v="2"/>
    <x v="1"/>
    <s v="No"/>
    <x v="1"/>
    <s v="Yes"/>
    <n v="20"/>
    <n v="15"/>
    <n v="15"/>
  </r>
  <r>
    <n v="3393"/>
    <x v="160"/>
    <x v="1"/>
    <d v="2024-08-06T00:00:00"/>
    <x v="1"/>
    <x v="1"/>
    <x v="0"/>
    <s v="No"/>
    <x v="1"/>
    <s v="No"/>
    <n v="0"/>
    <n v="1"/>
    <n v="4"/>
  </r>
  <r>
    <n v="3394"/>
    <x v="161"/>
    <x v="0"/>
    <d v="2024-08-07T00:00:00"/>
    <x v="0"/>
    <x v="0"/>
    <x v="2"/>
    <s v="Yes"/>
    <x v="0"/>
    <s v="Yes"/>
    <n v="20"/>
    <n v="7"/>
    <n v="58"/>
  </r>
  <r>
    <n v="3395"/>
    <x v="162"/>
    <x v="2"/>
    <d v="2024-08-08T00:00:00"/>
    <x v="1"/>
    <x v="2"/>
    <x v="0"/>
    <s v="No"/>
    <x v="1"/>
    <s v="Yes"/>
    <n v="20"/>
    <n v="10"/>
    <n v="20"/>
  </r>
  <r>
    <n v="3396"/>
    <x v="163"/>
    <x v="1"/>
    <d v="2024-08-09T00:00:00"/>
    <x v="0"/>
    <x v="1"/>
    <x v="1"/>
    <s v="No"/>
    <x v="1"/>
    <s v="No"/>
    <n v="0"/>
    <n v="0"/>
    <n v="5"/>
  </r>
  <r>
    <n v="3397"/>
    <x v="90"/>
    <x v="0"/>
    <d v="2024-08-10T00:00:00"/>
    <x v="1"/>
    <x v="0"/>
    <x v="0"/>
    <s v="Yes"/>
    <x v="0"/>
    <s v="Yes"/>
    <n v="20"/>
    <n v="20"/>
    <n v="45"/>
  </r>
  <r>
    <n v="3398"/>
    <x v="164"/>
    <x v="2"/>
    <d v="2024-08-11T00:00:00"/>
    <x v="0"/>
    <x v="2"/>
    <x v="2"/>
    <s v="No"/>
    <x v="1"/>
    <s v="Yes"/>
    <n v="20"/>
    <n v="15"/>
    <n v="15"/>
  </r>
  <r>
    <n v="3399"/>
    <x v="165"/>
    <x v="1"/>
    <d v="2024-08-12T00:00:00"/>
    <x v="1"/>
    <x v="1"/>
    <x v="0"/>
    <s v="No"/>
    <x v="1"/>
    <s v="No"/>
    <n v="0"/>
    <n v="1"/>
    <n v="4"/>
  </r>
  <r>
    <n v="3400"/>
    <x v="166"/>
    <x v="0"/>
    <d v="2024-08-13T00:00:00"/>
    <x v="0"/>
    <x v="0"/>
    <x v="1"/>
    <s v="Yes"/>
    <x v="0"/>
    <s v="Yes"/>
    <n v="20"/>
    <n v="5"/>
    <n v="60"/>
  </r>
  <r>
    <n v="3401"/>
    <x v="167"/>
    <x v="2"/>
    <d v="2024-08-14T00:00:00"/>
    <x v="1"/>
    <x v="2"/>
    <x v="0"/>
    <s v="No"/>
    <x v="1"/>
    <s v="Yes"/>
    <n v="20"/>
    <n v="10"/>
    <n v="20"/>
  </r>
  <r>
    <n v="3402"/>
    <x v="168"/>
    <x v="1"/>
    <d v="2024-08-15T00:00:00"/>
    <x v="0"/>
    <x v="1"/>
    <x v="2"/>
    <s v="No"/>
    <x v="1"/>
    <s v="No"/>
    <n v="0"/>
    <n v="0"/>
    <n v="5"/>
  </r>
  <r>
    <n v="3403"/>
    <x v="169"/>
    <x v="0"/>
    <d v="2024-08-16T00:00:00"/>
    <x v="1"/>
    <x v="0"/>
    <x v="0"/>
    <s v="Yes"/>
    <x v="0"/>
    <s v="Yes"/>
    <n v="20"/>
    <n v="3"/>
    <n v="62"/>
  </r>
  <r>
    <n v="3404"/>
    <x v="170"/>
    <x v="2"/>
    <d v="2024-08-17T00:00:00"/>
    <x v="0"/>
    <x v="2"/>
    <x v="1"/>
    <s v="No"/>
    <x v="1"/>
    <s v="Yes"/>
    <n v="20"/>
    <n v="15"/>
    <n v="15"/>
  </r>
  <r>
    <n v="3405"/>
    <x v="171"/>
    <x v="1"/>
    <d v="2024-08-18T00:00:00"/>
    <x v="1"/>
    <x v="1"/>
    <x v="0"/>
    <s v="No"/>
    <x v="1"/>
    <s v="No"/>
    <n v="0"/>
    <n v="1"/>
    <n v="4"/>
  </r>
  <r>
    <n v="3406"/>
    <x v="172"/>
    <x v="1"/>
    <d v="2024-08-19T00:00:00"/>
    <x v="0"/>
    <x v="1"/>
    <x v="0"/>
    <s v="No"/>
    <x v="1"/>
    <s v="No"/>
    <n v="0"/>
    <n v="0"/>
    <n v="5"/>
  </r>
  <r>
    <n v="3407"/>
    <x v="173"/>
    <x v="0"/>
    <d v="2024-08-20T00:00:00"/>
    <x v="1"/>
    <x v="0"/>
    <x v="2"/>
    <s v="Yes"/>
    <x v="0"/>
    <s v="Yes"/>
    <n v="20"/>
    <n v="7"/>
    <n v="58"/>
  </r>
  <r>
    <n v="3408"/>
    <x v="174"/>
    <x v="2"/>
    <d v="2024-08-21T00:00:00"/>
    <x v="0"/>
    <x v="2"/>
    <x v="1"/>
    <s v="No"/>
    <x v="1"/>
    <s v="Yes"/>
    <n v="20"/>
    <n v="10"/>
    <n v="20"/>
  </r>
  <r>
    <n v="3409"/>
    <x v="175"/>
    <x v="1"/>
    <d v="2024-08-22T00:00:00"/>
    <x v="1"/>
    <x v="1"/>
    <x v="2"/>
    <s v="No"/>
    <x v="1"/>
    <s v="No"/>
    <n v="0"/>
    <n v="1"/>
    <n v="4"/>
  </r>
  <r>
    <n v="3410"/>
    <x v="176"/>
    <x v="0"/>
    <d v="2024-08-23T00:00:00"/>
    <x v="0"/>
    <x v="0"/>
    <x v="0"/>
    <s v="Yes"/>
    <x v="0"/>
    <s v="Yes"/>
    <n v="20"/>
    <n v="15"/>
    <n v="50"/>
  </r>
  <r>
    <n v="3411"/>
    <x v="177"/>
    <x v="2"/>
    <d v="2024-08-24T00:00:00"/>
    <x v="1"/>
    <x v="2"/>
    <x v="0"/>
    <s v="No"/>
    <x v="1"/>
    <s v="Yes"/>
    <n v="20"/>
    <n v="5"/>
    <n v="25"/>
  </r>
  <r>
    <n v="3412"/>
    <x v="178"/>
    <x v="1"/>
    <d v="2024-08-25T00:00:00"/>
    <x v="0"/>
    <x v="1"/>
    <x v="1"/>
    <s v="No"/>
    <x v="1"/>
    <s v="No"/>
    <n v="0"/>
    <n v="0"/>
    <n v="5"/>
  </r>
  <r>
    <n v="3413"/>
    <x v="179"/>
    <x v="0"/>
    <d v="2024-08-26T00:00:00"/>
    <x v="1"/>
    <x v="0"/>
    <x v="2"/>
    <s v="Yes"/>
    <x v="0"/>
    <s v="Yes"/>
    <n v="20"/>
    <n v="20"/>
    <n v="45"/>
  </r>
  <r>
    <n v="3414"/>
    <x v="180"/>
    <x v="2"/>
    <d v="2024-08-27T00:00:00"/>
    <x v="0"/>
    <x v="2"/>
    <x v="2"/>
    <s v="No"/>
    <x v="1"/>
    <s v="Yes"/>
    <n v="20"/>
    <n v="12"/>
    <n v="18"/>
  </r>
  <r>
    <n v="3415"/>
    <x v="181"/>
    <x v="1"/>
    <d v="2024-08-28T00:00:00"/>
    <x v="1"/>
    <x v="1"/>
    <x v="0"/>
    <s v="No"/>
    <x v="1"/>
    <s v="No"/>
    <n v="0"/>
    <n v="2"/>
    <n v="3"/>
  </r>
  <r>
    <n v="3416"/>
    <x v="182"/>
    <x v="0"/>
    <d v="2024-08-29T00:00:00"/>
    <x v="0"/>
    <x v="0"/>
    <x v="1"/>
    <s v="Yes"/>
    <x v="0"/>
    <s v="Yes"/>
    <n v="20"/>
    <n v="5"/>
    <n v="60"/>
  </r>
  <r>
    <n v="3417"/>
    <x v="183"/>
    <x v="2"/>
    <d v="2024-08-30T00:00:00"/>
    <x v="1"/>
    <x v="2"/>
    <x v="0"/>
    <s v="No"/>
    <x v="1"/>
    <s v="Yes"/>
    <n v="20"/>
    <n v="10"/>
    <n v="20"/>
  </r>
  <r>
    <n v="3418"/>
    <x v="184"/>
    <x v="1"/>
    <d v="2024-08-31T00:00:00"/>
    <x v="0"/>
    <x v="1"/>
    <x v="2"/>
    <s v="No"/>
    <x v="1"/>
    <s v="No"/>
    <n v="0"/>
    <n v="0"/>
    <n v="5"/>
  </r>
  <r>
    <n v="3419"/>
    <x v="185"/>
    <x v="0"/>
    <d v="2024-09-01T00:00:00"/>
    <x v="1"/>
    <x v="0"/>
    <x v="0"/>
    <s v="Yes"/>
    <x v="0"/>
    <s v="Yes"/>
    <n v="20"/>
    <n v="3"/>
    <n v="62"/>
  </r>
  <r>
    <n v="3420"/>
    <x v="186"/>
    <x v="2"/>
    <d v="2024-09-02T00:00:00"/>
    <x v="0"/>
    <x v="2"/>
    <x v="1"/>
    <s v="No"/>
    <x v="1"/>
    <s v="Yes"/>
    <n v="20"/>
    <n v="15"/>
    <n v="15"/>
  </r>
  <r>
    <n v="3421"/>
    <x v="15"/>
    <x v="1"/>
    <d v="2024-09-03T00:00:00"/>
    <x v="1"/>
    <x v="1"/>
    <x v="0"/>
    <s v="No"/>
    <x v="1"/>
    <s v="No"/>
    <n v="0"/>
    <n v="1"/>
    <n v="4"/>
  </r>
  <r>
    <n v="3422"/>
    <x v="187"/>
    <x v="0"/>
    <d v="2024-09-04T00:00:00"/>
    <x v="0"/>
    <x v="0"/>
    <x v="2"/>
    <s v="Yes"/>
    <x v="0"/>
    <s v="Yes"/>
    <n v="20"/>
    <n v="7"/>
    <n v="58"/>
  </r>
  <r>
    <n v="3423"/>
    <x v="188"/>
    <x v="2"/>
    <d v="2024-09-05T00:00:00"/>
    <x v="1"/>
    <x v="2"/>
    <x v="0"/>
    <s v="No"/>
    <x v="1"/>
    <s v="Yes"/>
    <n v="20"/>
    <n v="10"/>
    <n v="20"/>
  </r>
  <r>
    <n v="3424"/>
    <x v="14"/>
    <x v="1"/>
    <d v="2024-09-06T00:00:00"/>
    <x v="0"/>
    <x v="1"/>
    <x v="1"/>
    <s v="No"/>
    <x v="1"/>
    <s v="No"/>
    <n v="0"/>
    <n v="0"/>
    <n v="5"/>
  </r>
  <r>
    <n v="3425"/>
    <x v="189"/>
    <x v="0"/>
    <d v="2024-09-07T00:00:00"/>
    <x v="1"/>
    <x v="0"/>
    <x v="0"/>
    <s v="Yes"/>
    <x v="0"/>
    <s v="Yes"/>
    <n v="20"/>
    <n v="20"/>
    <n v="45"/>
  </r>
  <r>
    <n v="3426"/>
    <x v="167"/>
    <x v="2"/>
    <d v="2024-09-08T00:00:00"/>
    <x v="0"/>
    <x v="2"/>
    <x v="2"/>
    <s v="No"/>
    <x v="1"/>
    <s v="Yes"/>
    <n v="20"/>
    <n v="15"/>
    <n v="15"/>
  </r>
  <r>
    <n v="3427"/>
    <x v="190"/>
    <x v="1"/>
    <d v="2024-09-09T00:00:00"/>
    <x v="1"/>
    <x v="1"/>
    <x v="0"/>
    <s v="No"/>
    <x v="1"/>
    <s v="No"/>
    <n v="0"/>
    <n v="1"/>
    <n v="4"/>
  </r>
  <r>
    <n v="3428"/>
    <x v="191"/>
    <x v="0"/>
    <d v="2024-09-10T00:00:00"/>
    <x v="0"/>
    <x v="0"/>
    <x v="1"/>
    <s v="Yes"/>
    <x v="0"/>
    <s v="Yes"/>
    <n v="20"/>
    <n v="3"/>
    <n v="62"/>
  </r>
  <r>
    <n v="3429"/>
    <x v="192"/>
    <x v="2"/>
    <d v="2024-09-11T00:00:00"/>
    <x v="1"/>
    <x v="2"/>
    <x v="0"/>
    <s v="No"/>
    <x v="1"/>
    <s v="Yes"/>
    <n v="20"/>
    <n v="10"/>
    <n v="20"/>
  </r>
  <r>
    <n v="3430"/>
    <x v="193"/>
    <x v="1"/>
    <d v="2024-09-12T00:00:00"/>
    <x v="0"/>
    <x v="1"/>
    <x v="2"/>
    <s v="No"/>
    <x v="1"/>
    <s v="No"/>
    <n v="0"/>
    <n v="0"/>
    <n v="5"/>
  </r>
  <r>
    <n v="3431"/>
    <x v="194"/>
    <x v="0"/>
    <d v="2024-09-13T00:00:00"/>
    <x v="1"/>
    <x v="0"/>
    <x v="0"/>
    <s v="Yes"/>
    <x v="0"/>
    <s v="Yes"/>
    <n v="20"/>
    <n v="15"/>
    <n v="50"/>
  </r>
  <r>
    <n v="3432"/>
    <x v="195"/>
    <x v="2"/>
    <d v="2024-09-14T00:00:00"/>
    <x v="0"/>
    <x v="2"/>
    <x v="1"/>
    <s v="No"/>
    <x v="1"/>
    <s v="Yes"/>
    <n v="20"/>
    <n v="15"/>
    <n v="15"/>
  </r>
  <r>
    <n v="3433"/>
    <x v="196"/>
    <x v="1"/>
    <d v="2024-09-15T00:00:00"/>
    <x v="1"/>
    <x v="1"/>
    <x v="0"/>
    <s v="No"/>
    <x v="1"/>
    <s v="No"/>
    <n v="0"/>
    <n v="1"/>
    <n v="4"/>
  </r>
  <r>
    <n v="3434"/>
    <x v="197"/>
    <x v="0"/>
    <d v="2024-09-16T00:00:00"/>
    <x v="0"/>
    <x v="0"/>
    <x v="2"/>
    <s v="Yes"/>
    <x v="0"/>
    <s v="Yes"/>
    <n v="20"/>
    <n v="7"/>
    <n v="58"/>
  </r>
  <r>
    <n v="3435"/>
    <x v="198"/>
    <x v="2"/>
    <d v="2024-09-17T00:00:00"/>
    <x v="1"/>
    <x v="2"/>
    <x v="0"/>
    <s v="No"/>
    <x v="1"/>
    <s v="Yes"/>
    <n v="20"/>
    <n v="10"/>
    <n v="20"/>
  </r>
  <r>
    <n v="3436"/>
    <x v="199"/>
    <x v="1"/>
    <d v="2024-09-18T00:00:00"/>
    <x v="0"/>
    <x v="1"/>
    <x v="0"/>
    <s v="No"/>
    <x v="1"/>
    <s v="No"/>
    <n v="0"/>
    <n v="0"/>
    <n v="5"/>
  </r>
  <r>
    <n v="3437"/>
    <x v="200"/>
    <x v="0"/>
    <d v="2024-09-19T00:00:00"/>
    <x v="1"/>
    <x v="0"/>
    <x v="2"/>
    <s v="Yes"/>
    <x v="0"/>
    <s v="Yes"/>
    <n v="20"/>
    <n v="7"/>
    <n v="58"/>
  </r>
  <r>
    <n v="3438"/>
    <x v="201"/>
    <x v="2"/>
    <d v="2024-09-20T00:00:00"/>
    <x v="0"/>
    <x v="2"/>
    <x v="1"/>
    <s v="No"/>
    <x v="1"/>
    <s v="Yes"/>
    <n v="20"/>
    <n v="10"/>
    <n v="20"/>
  </r>
  <r>
    <n v="3439"/>
    <x v="202"/>
    <x v="1"/>
    <d v="2024-09-21T00:00:00"/>
    <x v="1"/>
    <x v="1"/>
    <x v="2"/>
    <s v="No"/>
    <x v="1"/>
    <s v="No"/>
    <n v="0"/>
    <n v="1"/>
    <n v="4"/>
  </r>
  <r>
    <n v="3440"/>
    <x v="203"/>
    <x v="0"/>
    <d v="2024-09-22T00:00:00"/>
    <x v="0"/>
    <x v="0"/>
    <x v="0"/>
    <s v="Yes"/>
    <x v="0"/>
    <s v="Yes"/>
    <n v="20"/>
    <n v="15"/>
    <n v="50"/>
  </r>
  <r>
    <n v="3441"/>
    <x v="204"/>
    <x v="2"/>
    <d v="2024-09-23T00:00:00"/>
    <x v="1"/>
    <x v="2"/>
    <x v="0"/>
    <s v="No"/>
    <x v="1"/>
    <s v="Yes"/>
    <n v="20"/>
    <n v="5"/>
    <n v="25"/>
  </r>
  <r>
    <n v="3442"/>
    <x v="205"/>
    <x v="1"/>
    <d v="2024-09-24T00:00:00"/>
    <x v="0"/>
    <x v="1"/>
    <x v="1"/>
    <s v="No"/>
    <x v="1"/>
    <s v="No"/>
    <n v="0"/>
    <n v="0"/>
    <n v="5"/>
  </r>
  <r>
    <n v="3443"/>
    <x v="206"/>
    <x v="0"/>
    <d v="2024-09-25T00:00:00"/>
    <x v="1"/>
    <x v="0"/>
    <x v="2"/>
    <s v="Yes"/>
    <x v="0"/>
    <s v="Yes"/>
    <n v="20"/>
    <n v="20"/>
    <n v="45"/>
  </r>
  <r>
    <n v="3444"/>
    <x v="207"/>
    <x v="2"/>
    <d v="2024-09-26T00:00:00"/>
    <x v="0"/>
    <x v="2"/>
    <x v="2"/>
    <s v="No"/>
    <x v="1"/>
    <s v="Yes"/>
    <n v="20"/>
    <n v="12"/>
    <n v="18"/>
  </r>
  <r>
    <n v="3445"/>
    <x v="37"/>
    <x v="1"/>
    <d v="2024-09-27T00:00:00"/>
    <x v="1"/>
    <x v="1"/>
    <x v="0"/>
    <s v="No"/>
    <x v="1"/>
    <s v="No"/>
    <n v="0"/>
    <n v="2"/>
    <n v="3"/>
  </r>
  <r>
    <n v="3446"/>
    <x v="208"/>
    <x v="0"/>
    <d v="2024-09-28T00:00:00"/>
    <x v="0"/>
    <x v="0"/>
    <x v="1"/>
    <s v="Yes"/>
    <x v="0"/>
    <s v="Yes"/>
    <n v="20"/>
    <n v="5"/>
    <n v="60"/>
  </r>
  <r>
    <n v="3447"/>
    <x v="209"/>
    <x v="2"/>
    <d v="2024-09-29T00:00:00"/>
    <x v="1"/>
    <x v="2"/>
    <x v="0"/>
    <s v="No"/>
    <x v="1"/>
    <s v="Yes"/>
    <n v="20"/>
    <n v="10"/>
    <n v="20"/>
  </r>
  <r>
    <n v="3448"/>
    <x v="210"/>
    <x v="1"/>
    <d v="2024-09-30T00:00:00"/>
    <x v="0"/>
    <x v="1"/>
    <x v="2"/>
    <s v="No"/>
    <x v="1"/>
    <s v="No"/>
    <n v="0"/>
    <n v="0"/>
    <n v="5"/>
  </r>
  <r>
    <n v="3449"/>
    <x v="211"/>
    <x v="0"/>
    <d v="2024-10-01T00:00:00"/>
    <x v="1"/>
    <x v="0"/>
    <x v="0"/>
    <s v="Yes"/>
    <x v="0"/>
    <s v="Yes"/>
    <n v="20"/>
    <n v="3"/>
    <n v="62"/>
  </r>
  <r>
    <n v="3450"/>
    <x v="212"/>
    <x v="2"/>
    <d v="2024-10-02T00:00:00"/>
    <x v="0"/>
    <x v="2"/>
    <x v="1"/>
    <s v="No"/>
    <x v="1"/>
    <s v="Yes"/>
    <n v="20"/>
    <n v="15"/>
    <n v="15"/>
  </r>
  <r>
    <n v="3451"/>
    <x v="213"/>
    <x v="1"/>
    <d v="2024-10-03T00:00:00"/>
    <x v="1"/>
    <x v="1"/>
    <x v="0"/>
    <s v="No"/>
    <x v="1"/>
    <s v="No"/>
    <n v="0"/>
    <n v="1"/>
    <n v="4"/>
  </r>
  <r>
    <n v="3452"/>
    <x v="191"/>
    <x v="0"/>
    <d v="2024-10-04T00:00:00"/>
    <x v="0"/>
    <x v="0"/>
    <x v="2"/>
    <s v="Yes"/>
    <x v="0"/>
    <s v="Yes"/>
    <n v="20"/>
    <n v="7"/>
    <n v="58"/>
  </r>
  <r>
    <n v="3453"/>
    <x v="45"/>
    <x v="2"/>
    <d v="2024-10-05T00:00:00"/>
    <x v="1"/>
    <x v="2"/>
    <x v="0"/>
    <s v="No"/>
    <x v="1"/>
    <s v="Yes"/>
    <n v="20"/>
    <n v="10"/>
    <n v="20"/>
  </r>
  <r>
    <n v="3454"/>
    <x v="214"/>
    <x v="1"/>
    <d v="2024-10-06T00:00:00"/>
    <x v="0"/>
    <x v="1"/>
    <x v="1"/>
    <s v="No"/>
    <x v="1"/>
    <s v="No"/>
    <n v="0"/>
    <n v="0"/>
    <n v="5"/>
  </r>
  <r>
    <n v="3455"/>
    <x v="215"/>
    <x v="0"/>
    <d v="2024-10-07T00:00:00"/>
    <x v="1"/>
    <x v="0"/>
    <x v="0"/>
    <s v="Yes"/>
    <x v="0"/>
    <s v="Yes"/>
    <n v="20"/>
    <n v="20"/>
    <n v="45"/>
  </r>
  <r>
    <n v="3456"/>
    <x v="216"/>
    <x v="2"/>
    <d v="2024-10-08T00:00:00"/>
    <x v="0"/>
    <x v="2"/>
    <x v="2"/>
    <s v="No"/>
    <x v="1"/>
    <s v="Yes"/>
    <n v="20"/>
    <n v="15"/>
    <n v="15"/>
  </r>
  <r>
    <n v="3457"/>
    <x v="217"/>
    <x v="1"/>
    <d v="2024-10-09T00:00:00"/>
    <x v="1"/>
    <x v="1"/>
    <x v="0"/>
    <s v="No"/>
    <x v="1"/>
    <s v="No"/>
    <n v="0"/>
    <n v="1"/>
    <n v="4"/>
  </r>
  <r>
    <n v="3458"/>
    <x v="218"/>
    <x v="0"/>
    <d v="2024-10-10T00:00:00"/>
    <x v="0"/>
    <x v="0"/>
    <x v="1"/>
    <s v="Yes"/>
    <x v="0"/>
    <s v="Yes"/>
    <n v="20"/>
    <n v="3"/>
    <n v="62"/>
  </r>
  <r>
    <n v="3459"/>
    <x v="219"/>
    <x v="2"/>
    <d v="2024-10-11T00:00:00"/>
    <x v="1"/>
    <x v="2"/>
    <x v="0"/>
    <s v="No"/>
    <x v="1"/>
    <s v="Yes"/>
    <n v="20"/>
    <n v="10"/>
    <n v="20"/>
  </r>
  <r>
    <n v="3460"/>
    <x v="127"/>
    <x v="1"/>
    <d v="2024-10-12T00:00:00"/>
    <x v="0"/>
    <x v="1"/>
    <x v="2"/>
    <s v="No"/>
    <x v="1"/>
    <s v="No"/>
    <n v="0"/>
    <n v="0"/>
    <n v="5"/>
  </r>
  <r>
    <n v="3461"/>
    <x v="220"/>
    <x v="0"/>
    <d v="2024-10-13T00:00:00"/>
    <x v="1"/>
    <x v="0"/>
    <x v="0"/>
    <s v="Yes"/>
    <x v="0"/>
    <s v="Yes"/>
    <n v="20"/>
    <n v="15"/>
    <n v="50"/>
  </r>
  <r>
    <n v="3462"/>
    <x v="221"/>
    <x v="2"/>
    <d v="2024-10-14T00:00:00"/>
    <x v="0"/>
    <x v="2"/>
    <x v="1"/>
    <s v="No"/>
    <x v="1"/>
    <s v="Yes"/>
    <n v="20"/>
    <n v="15"/>
    <n v="15"/>
  </r>
  <r>
    <n v="3463"/>
    <x v="222"/>
    <x v="1"/>
    <d v="2024-10-15T00:00:00"/>
    <x v="1"/>
    <x v="1"/>
    <x v="0"/>
    <s v="No"/>
    <x v="1"/>
    <s v="No"/>
    <n v="0"/>
    <n v="1"/>
    <n v="4"/>
  </r>
  <r>
    <n v="3464"/>
    <x v="223"/>
    <x v="0"/>
    <d v="2024-10-16T00:00:00"/>
    <x v="0"/>
    <x v="0"/>
    <x v="2"/>
    <s v="Yes"/>
    <x v="0"/>
    <s v="Yes"/>
    <n v="20"/>
    <n v="7"/>
    <n v="58"/>
  </r>
  <r>
    <n v="3465"/>
    <x v="224"/>
    <x v="2"/>
    <d v="2024-10-17T00:00:00"/>
    <x v="1"/>
    <x v="2"/>
    <x v="0"/>
    <s v="No"/>
    <x v="1"/>
    <s v="Yes"/>
    <n v="20"/>
    <n v="10"/>
    <n v="20"/>
  </r>
  <r>
    <n v="3466"/>
    <x v="225"/>
    <x v="1"/>
    <d v="2024-10-18T00:00:00"/>
    <x v="0"/>
    <x v="1"/>
    <x v="1"/>
    <s v="No"/>
    <x v="1"/>
    <s v="No"/>
    <n v="0"/>
    <n v="0"/>
    <n v="5"/>
  </r>
  <r>
    <n v="3467"/>
    <x v="226"/>
    <x v="0"/>
    <d v="2024-10-19T00:00:00"/>
    <x v="1"/>
    <x v="0"/>
    <x v="0"/>
    <s v="Yes"/>
    <x v="0"/>
    <s v="Yes"/>
    <n v="20"/>
    <n v="15"/>
    <n v="50"/>
  </r>
  <r>
    <n v="3468"/>
    <x v="227"/>
    <x v="2"/>
    <d v="2024-10-20T00:00:00"/>
    <x v="0"/>
    <x v="2"/>
    <x v="2"/>
    <s v="No"/>
    <x v="1"/>
    <s v="Yes"/>
    <n v="20"/>
    <n v="12"/>
    <n v="18"/>
  </r>
  <r>
    <n v="3469"/>
    <x v="228"/>
    <x v="1"/>
    <d v="2024-10-21T00:00:00"/>
    <x v="1"/>
    <x v="1"/>
    <x v="0"/>
    <s v="No"/>
    <x v="1"/>
    <s v="No"/>
    <n v="0"/>
    <n v="2"/>
    <n v="3"/>
  </r>
  <r>
    <n v="3470"/>
    <x v="229"/>
    <x v="0"/>
    <d v="2024-10-22T00:00:00"/>
    <x v="0"/>
    <x v="0"/>
    <x v="1"/>
    <s v="Yes"/>
    <x v="0"/>
    <s v="Yes"/>
    <n v="20"/>
    <n v="5"/>
    <n v="60"/>
  </r>
  <r>
    <n v="3471"/>
    <x v="230"/>
    <x v="2"/>
    <d v="2024-10-23T00:00:00"/>
    <x v="1"/>
    <x v="2"/>
    <x v="0"/>
    <s v="No"/>
    <x v="1"/>
    <s v="Yes"/>
    <n v="20"/>
    <n v="10"/>
    <n v="20"/>
  </r>
  <r>
    <n v="3472"/>
    <x v="231"/>
    <x v="1"/>
    <d v="2024-10-24T00:00:00"/>
    <x v="0"/>
    <x v="1"/>
    <x v="2"/>
    <s v="No"/>
    <x v="1"/>
    <s v="No"/>
    <n v="0"/>
    <n v="0"/>
    <n v="5"/>
  </r>
  <r>
    <n v="3473"/>
    <x v="140"/>
    <x v="0"/>
    <d v="2024-10-25T00:00:00"/>
    <x v="1"/>
    <x v="0"/>
    <x v="0"/>
    <s v="Yes"/>
    <x v="0"/>
    <s v="Yes"/>
    <n v="20"/>
    <n v="3"/>
    <n v="62"/>
  </r>
  <r>
    <n v="3474"/>
    <x v="232"/>
    <x v="2"/>
    <d v="2024-10-26T00:00:00"/>
    <x v="0"/>
    <x v="2"/>
    <x v="1"/>
    <s v="No"/>
    <x v="1"/>
    <s v="Yes"/>
    <n v="20"/>
    <n v="15"/>
    <n v="15"/>
  </r>
  <r>
    <n v="3475"/>
    <x v="233"/>
    <x v="1"/>
    <d v="2024-10-27T00:00:00"/>
    <x v="1"/>
    <x v="1"/>
    <x v="0"/>
    <s v="No"/>
    <x v="1"/>
    <s v="No"/>
    <n v="0"/>
    <n v="1"/>
    <n v="4"/>
  </r>
  <r>
    <n v="3476"/>
    <x v="234"/>
    <x v="0"/>
    <d v="2024-10-28T00:00:00"/>
    <x v="0"/>
    <x v="0"/>
    <x v="2"/>
    <s v="Yes"/>
    <x v="0"/>
    <s v="Yes"/>
    <n v="20"/>
    <n v="7"/>
    <n v="58"/>
  </r>
  <r>
    <n v="3477"/>
    <x v="235"/>
    <x v="2"/>
    <d v="2024-10-29T00:00:00"/>
    <x v="1"/>
    <x v="2"/>
    <x v="0"/>
    <s v="No"/>
    <x v="1"/>
    <s v="Yes"/>
    <n v="20"/>
    <n v="10"/>
    <n v="20"/>
  </r>
  <r>
    <n v="3478"/>
    <x v="236"/>
    <x v="1"/>
    <d v="2024-10-30T00:00:00"/>
    <x v="0"/>
    <x v="1"/>
    <x v="1"/>
    <s v="No"/>
    <x v="1"/>
    <s v="No"/>
    <n v="0"/>
    <n v="0"/>
    <n v="5"/>
  </r>
  <r>
    <n v="3479"/>
    <x v="237"/>
    <x v="0"/>
    <d v="2024-10-31T00:00:00"/>
    <x v="1"/>
    <x v="0"/>
    <x v="0"/>
    <s v="Yes"/>
    <x v="0"/>
    <s v="Yes"/>
    <n v="20"/>
    <n v="20"/>
    <n v="45"/>
  </r>
  <r>
    <n v="3480"/>
    <x v="238"/>
    <x v="2"/>
    <d v="2024-11-01T00:00:00"/>
    <x v="0"/>
    <x v="2"/>
    <x v="2"/>
    <s v="No"/>
    <x v="1"/>
    <s v="Yes"/>
    <n v="20"/>
    <n v="15"/>
    <n v="15"/>
  </r>
  <r>
    <n v="3481"/>
    <x v="239"/>
    <x v="1"/>
    <d v="2024-11-02T00:00:00"/>
    <x v="1"/>
    <x v="1"/>
    <x v="0"/>
    <s v="No"/>
    <x v="1"/>
    <s v="No"/>
    <n v="0"/>
    <n v="1"/>
    <n v="4"/>
  </r>
  <r>
    <n v="3482"/>
    <x v="240"/>
    <x v="0"/>
    <d v="2024-11-03T00:00:00"/>
    <x v="0"/>
    <x v="0"/>
    <x v="1"/>
    <s v="Yes"/>
    <x v="0"/>
    <s v="Yes"/>
    <n v="20"/>
    <n v="3"/>
    <n v="62"/>
  </r>
  <r>
    <n v="3483"/>
    <x v="241"/>
    <x v="2"/>
    <d v="2024-11-04T00:00:00"/>
    <x v="1"/>
    <x v="2"/>
    <x v="0"/>
    <s v="No"/>
    <x v="1"/>
    <s v="Yes"/>
    <n v="20"/>
    <n v="10"/>
    <n v="20"/>
  </r>
  <r>
    <n v="3484"/>
    <x v="242"/>
    <x v="1"/>
    <d v="2024-11-05T00:00:00"/>
    <x v="0"/>
    <x v="1"/>
    <x v="2"/>
    <s v="No"/>
    <x v="1"/>
    <s v="No"/>
    <n v="0"/>
    <n v="0"/>
    <n v="5"/>
  </r>
  <r>
    <n v="3485"/>
    <x v="243"/>
    <x v="0"/>
    <d v="2024-11-06T00:00:00"/>
    <x v="1"/>
    <x v="0"/>
    <x v="0"/>
    <s v="Yes"/>
    <x v="0"/>
    <s v="Yes"/>
    <n v="20"/>
    <n v="15"/>
    <n v="50"/>
  </r>
  <r>
    <n v="3486"/>
    <x v="244"/>
    <x v="1"/>
    <d v="2024-11-07T00:00:00"/>
    <x v="0"/>
    <x v="1"/>
    <x v="0"/>
    <s v="No"/>
    <x v="1"/>
    <s v="No"/>
    <n v="0"/>
    <n v="0"/>
    <n v="5"/>
  </r>
  <r>
    <n v="3487"/>
    <x v="245"/>
    <x v="0"/>
    <d v="2024-11-08T00:00:00"/>
    <x v="1"/>
    <x v="0"/>
    <x v="2"/>
    <s v="Yes"/>
    <x v="0"/>
    <s v="Yes"/>
    <n v="20"/>
    <n v="7"/>
    <n v="58"/>
  </r>
  <r>
    <n v="3488"/>
    <x v="246"/>
    <x v="2"/>
    <d v="2024-11-09T00:00:00"/>
    <x v="0"/>
    <x v="2"/>
    <x v="1"/>
    <s v="No"/>
    <x v="1"/>
    <s v="Yes"/>
    <n v="20"/>
    <n v="10"/>
    <n v="20"/>
  </r>
  <r>
    <n v="3489"/>
    <x v="247"/>
    <x v="1"/>
    <d v="2024-11-10T00:00:00"/>
    <x v="1"/>
    <x v="1"/>
    <x v="2"/>
    <s v="No"/>
    <x v="1"/>
    <s v="No"/>
    <n v="0"/>
    <n v="1"/>
    <n v="4"/>
  </r>
  <r>
    <n v="3490"/>
    <x v="248"/>
    <x v="0"/>
    <d v="2024-11-11T00:00:00"/>
    <x v="0"/>
    <x v="0"/>
    <x v="0"/>
    <s v="Yes"/>
    <x v="0"/>
    <s v="Yes"/>
    <n v="20"/>
    <n v="15"/>
    <n v="50"/>
  </r>
  <r>
    <n v="3491"/>
    <x v="249"/>
    <x v="2"/>
    <d v="2024-11-12T00:00:00"/>
    <x v="1"/>
    <x v="2"/>
    <x v="0"/>
    <s v="No"/>
    <x v="1"/>
    <s v="Yes"/>
    <n v="20"/>
    <n v="5"/>
    <n v="25"/>
  </r>
  <r>
    <n v="3492"/>
    <x v="250"/>
    <x v="1"/>
    <d v="2024-11-13T00:00:00"/>
    <x v="0"/>
    <x v="1"/>
    <x v="1"/>
    <s v="No"/>
    <x v="1"/>
    <s v="No"/>
    <n v="0"/>
    <n v="0"/>
    <n v="5"/>
  </r>
  <r>
    <n v="3493"/>
    <x v="251"/>
    <x v="0"/>
    <d v="2024-11-14T00:00:00"/>
    <x v="1"/>
    <x v="0"/>
    <x v="2"/>
    <s v="Yes"/>
    <x v="0"/>
    <s v="Yes"/>
    <n v="20"/>
    <n v="20"/>
    <n v="45"/>
  </r>
  <r>
    <n v="3494"/>
    <x v="252"/>
    <x v="2"/>
    <d v="2024-11-15T00:00:00"/>
    <x v="0"/>
    <x v="2"/>
    <x v="2"/>
    <s v="No"/>
    <x v="1"/>
    <s v="Yes"/>
    <n v="20"/>
    <n v="12"/>
    <n v="18"/>
  </r>
  <r>
    <n v="3495"/>
    <x v="253"/>
    <x v="1"/>
    <d v="2024-11-16T00:00:00"/>
    <x v="1"/>
    <x v="1"/>
    <x v="0"/>
    <s v="No"/>
    <x v="1"/>
    <s v="No"/>
    <n v="0"/>
    <n v="2"/>
    <n v="3"/>
  </r>
  <r>
    <n v="3496"/>
    <x v="254"/>
    <x v="0"/>
    <d v="2024-11-17T00:00:00"/>
    <x v="0"/>
    <x v="0"/>
    <x v="1"/>
    <s v="Yes"/>
    <x v="0"/>
    <s v="Yes"/>
    <n v="20"/>
    <n v="5"/>
    <n v="60"/>
  </r>
  <r>
    <n v="3497"/>
    <x v="255"/>
    <x v="2"/>
    <d v="2024-11-18T00:00:00"/>
    <x v="1"/>
    <x v="2"/>
    <x v="0"/>
    <s v="No"/>
    <x v="1"/>
    <s v="Yes"/>
    <n v="20"/>
    <n v="10"/>
    <n v="20"/>
  </r>
  <r>
    <n v="3498"/>
    <x v="256"/>
    <x v="1"/>
    <d v="2024-11-19T00:00:00"/>
    <x v="0"/>
    <x v="1"/>
    <x v="2"/>
    <s v="No"/>
    <x v="1"/>
    <s v="No"/>
    <n v="0"/>
    <n v="0"/>
    <n v="5"/>
  </r>
  <r>
    <n v="3499"/>
    <x v="257"/>
    <x v="0"/>
    <d v="2024-11-20T00:00:00"/>
    <x v="1"/>
    <x v="0"/>
    <x v="0"/>
    <s v="Yes"/>
    <x v="0"/>
    <s v="Yes"/>
    <n v="20"/>
    <n v="3"/>
    <n v="62"/>
  </r>
  <r>
    <n v="3500"/>
    <x v="258"/>
    <x v="2"/>
    <d v="2024-11-21T00:00:00"/>
    <x v="0"/>
    <x v="2"/>
    <x v="1"/>
    <s v="No"/>
    <x v="1"/>
    <s v="Yes"/>
    <n v="20"/>
    <n v="15"/>
    <n v="15"/>
  </r>
  <r>
    <n v="3501"/>
    <x v="259"/>
    <x v="1"/>
    <d v="2024-11-22T00:00:00"/>
    <x v="1"/>
    <x v="1"/>
    <x v="0"/>
    <s v="No"/>
    <x v="1"/>
    <s v="No"/>
    <n v="0"/>
    <n v="1"/>
    <n v="4"/>
  </r>
  <r>
    <n v="3502"/>
    <x v="260"/>
    <x v="0"/>
    <d v="2024-11-23T00:00:00"/>
    <x v="0"/>
    <x v="0"/>
    <x v="2"/>
    <s v="Yes"/>
    <x v="0"/>
    <s v="Yes"/>
    <n v="20"/>
    <n v="7"/>
    <n v="58"/>
  </r>
  <r>
    <n v="3503"/>
    <x v="119"/>
    <x v="2"/>
    <d v="2024-11-24T00:00:00"/>
    <x v="1"/>
    <x v="2"/>
    <x v="0"/>
    <s v="No"/>
    <x v="1"/>
    <s v="Yes"/>
    <n v="20"/>
    <n v="10"/>
    <n v="20"/>
  </r>
  <r>
    <n v="3504"/>
    <x v="261"/>
    <x v="1"/>
    <d v="2024-11-25T00:00:00"/>
    <x v="0"/>
    <x v="1"/>
    <x v="1"/>
    <s v="No"/>
    <x v="1"/>
    <s v="No"/>
    <n v="0"/>
    <n v="0"/>
    <n v="5"/>
  </r>
  <r>
    <n v="3505"/>
    <x v="262"/>
    <x v="0"/>
    <d v="2024-11-26T00:00:00"/>
    <x v="1"/>
    <x v="0"/>
    <x v="0"/>
    <s v="Yes"/>
    <x v="0"/>
    <s v="Yes"/>
    <n v="20"/>
    <n v="20"/>
    <n v="45"/>
  </r>
  <r>
    <n v="3506"/>
    <x v="263"/>
    <x v="2"/>
    <d v="2024-11-27T00:00:00"/>
    <x v="0"/>
    <x v="2"/>
    <x v="2"/>
    <s v="No"/>
    <x v="1"/>
    <s v="Yes"/>
    <n v="20"/>
    <n v="15"/>
    <n v="15"/>
  </r>
  <r>
    <n v="3507"/>
    <x v="264"/>
    <x v="1"/>
    <d v="2024-11-28T00:00:00"/>
    <x v="1"/>
    <x v="1"/>
    <x v="0"/>
    <s v="No"/>
    <x v="1"/>
    <s v="No"/>
    <n v="0"/>
    <n v="1"/>
    <n v="4"/>
  </r>
  <r>
    <n v="3508"/>
    <x v="265"/>
    <x v="0"/>
    <d v="2024-11-29T00:00:00"/>
    <x v="0"/>
    <x v="0"/>
    <x v="1"/>
    <s v="Yes"/>
    <x v="0"/>
    <s v="Yes"/>
    <n v="20"/>
    <n v="3"/>
    <n v="62"/>
  </r>
  <r>
    <n v="3509"/>
    <x v="266"/>
    <x v="2"/>
    <d v="2024-11-30T00:00:00"/>
    <x v="1"/>
    <x v="2"/>
    <x v="0"/>
    <s v="No"/>
    <x v="1"/>
    <s v="Yes"/>
    <n v="20"/>
    <n v="10"/>
    <n v="20"/>
  </r>
  <r>
    <n v="3510"/>
    <x v="267"/>
    <x v="1"/>
    <d v="2024-12-01T00:00:00"/>
    <x v="0"/>
    <x v="1"/>
    <x v="2"/>
    <s v="No"/>
    <x v="1"/>
    <s v="No"/>
    <n v="0"/>
    <n v="0"/>
    <n v="5"/>
  </r>
  <r>
    <n v="3511"/>
    <x v="268"/>
    <x v="0"/>
    <d v="2024-12-02T00:00:00"/>
    <x v="1"/>
    <x v="0"/>
    <x v="0"/>
    <s v="Yes"/>
    <x v="0"/>
    <s v="Yes"/>
    <n v="20"/>
    <n v="15"/>
    <n v="50"/>
  </r>
  <r>
    <n v="3512"/>
    <x v="269"/>
    <x v="2"/>
    <d v="2024-12-03T00:00:00"/>
    <x v="0"/>
    <x v="2"/>
    <x v="1"/>
    <s v="No"/>
    <x v="1"/>
    <s v="Yes"/>
    <n v="20"/>
    <n v="15"/>
    <n v="15"/>
  </r>
  <r>
    <n v="3513"/>
    <x v="270"/>
    <x v="1"/>
    <d v="2024-12-04T00:00:00"/>
    <x v="1"/>
    <x v="1"/>
    <x v="0"/>
    <s v="No"/>
    <x v="1"/>
    <s v="No"/>
    <n v="0"/>
    <n v="1"/>
    <n v="4"/>
  </r>
  <r>
    <n v="3514"/>
    <x v="271"/>
    <x v="0"/>
    <d v="2024-12-05T00:00:00"/>
    <x v="0"/>
    <x v="0"/>
    <x v="2"/>
    <s v="Yes"/>
    <x v="0"/>
    <s v="Yes"/>
    <n v="20"/>
    <n v="7"/>
    <n v="58"/>
  </r>
  <r>
    <n v="3515"/>
    <x v="130"/>
    <x v="2"/>
    <d v="2024-12-06T00:00:00"/>
    <x v="1"/>
    <x v="2"/>
    <x v="0"/>
    <s v="No"/>
    <x v="1"/>
    <s v="Yes"/>
    <n v="20"/>
    <n v="10"/>
    <n v="20"/>
  </r>
  <r>
    <n v="3516"/>
    <x v="131"/>
    <x v="1"/>
    <d v="2024-12-07T00:00:00"/>
    <x v="0"/>
    <x v="1"/>
    <x v="1"/>
    <s v="No"/>
    <x v="1"/>
    <s v="No"/>
    <n v="0"/>
    <n v="0"/>
    <n v="5"/>
  </r>
  <r>
    <n v="3517"/>
    <x v="181"/>
    <x v="0"/>
    <d v="2024-12-08T00:00:00"/>
    <x v="1"/>
    <x v="0"/>
    <x v="0"/>
    <s v="Yes"/>
    <x v="0"/>
    <s v="Yes"/>
    <n v="20"/>
    <n v="20"/>
    <n v="45"/>
  </r>
  <r>
    <n v="3518"/>
    <x v="272"/>
    <x v="2"/>
    <d v="2024-12-09T00:00:00"/>
    <x v="0"/>
    <x v="2"/>
    <x v="2"/>
    <s v="No"/>
    <x v="1"/>
    <s v="Yes"/>
    <n v="20"/>
    <n v="12"/>
    <n v="18"/>
  </r>
  <r>
    <n v="3519"/>
    <x v="273"/>
    <x v="1"/>
    <d v="2024-12-10T00:00:00"/>
    <x v="1"/>
    <x v="1"/>
    <x v="0"/>
    <s v="No"/>
    <x v="1"/>
    <s v="No"/>
    <n v="0"/>
    <n v="2"/>
    <n v="3"/>
  </r>
  <r>
    <n v="3520"/>
    <x v="274"/>
    <x v="0"/>
    <d v="2024-12-11T00:00:00"/>
    <x v="0"/>
    <x v="0"/>
    <x v="1"/>
    <s v="Yes"/>
    <x v="0"/>
    <s v="Yes"/>
    <n v="20"/>
    <n v="5"/>
    <n v="60"/>
  </r>
  <r>
    <n v="3521"/>
    <x v="275"/>
    <x v="2"/>
    <d v="2024-12-12T00:00:00"/>
    <x v="1"/>
    <x v="2"/>
    <x v="0"/>
    <s v="No"/>
    <x v="1"/>
    <s v="Yes"/>
    <n v="20"/>
    <n v="10"/>
    <n v="20"/>
  </r>
  <r>
    <n v="3522"/>
    <x v="276"/>
    <x v="1"/>
    <d v="2024-12-13T00:00:00"/>
    <x v="0"/>
    <x v="1"/>
    <x v="2"/>
    <s v="No"/>
    <x v="1"/>
    <s v="No"/>
    <n v="0"/>
    <n v="0"/>
    <n v="5"/>
  </r>
  <r>
    <n v="3523"/>
    <x v="277"/>
    <x v="0"/>
    <d v="2024-12-14T00:00:00"/>
    <x v="1"/>
    <x v="0"/>
    <x v="0"/>
    <s v="Yes"/>
    <x v="0"/>
    <s v="Yes"/>
    <n v="20"/>
    <n v="3"/>
    <n v="62"/>
  </r>
  <r>
    <n v="3524"/>
    <x v="278"/>
    <x v="2"/>
    <d v="2024-12-15T00:00:00"/>
    <x v="0"/>
    <x v="2"/>
    <x v="1"/>
    <s v="No"/>
    <x v="1"/>
    <s v="Yes"/>
    <n v="20"/>
    <n v="15"/>
    <n v="15"/>
  </r>
  <r>
    <n v="3525"/>
    <x v="279"/>
    <x v="1"/>
    <d v="2024-12-16T00:00:00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402565-95F5-445B-903D-35520F198A95}" name="tbl_minecraftseaconpass_total" cacheId="33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32:C36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4AA1B-CD4D-497F-88D1-68403447D251}" name="tbl_easeasonpass_total" cacheId="33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21:C25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/>
    <pivotField compact="0" numFmtId="44" outline="0" showAll="0"/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44" outline="0" showAll="0"/>
    <pivotField compact="0" numFmtId="44" outline="0" showAll="0"/>
    <pivotField compact="0" numFmtId="4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8A5BC-BB3B-41F8-BE8D-6E47FCA0F1FE}" name="tbl_annual_total" cacheId="33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B11:C14" firstHeaderRow="1" firstDataRow="1" firstDataCol="1" rowPageCount="1" colPageCount="1"/>
  <pivotFields count="13">
    <pivotField compact="0" outline="0" showAll="0"/>
    <pivotField compact="0" outline="0" showAll="0">
      <items count="281">
        <item sd="0" x="87"/>
        <item sd="0"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4E32A-60B2-429C-BB30-0791F7A0CA3D}" name="Tabela dinâmica3" cacheId="339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1">
  <location ref="C220:D223" firstHeaderRow="1" firstDataRow="1" firstDataCol="1" rowPageCount="1" colPageCount="1"/>
  <pivotFields count="13">
    <pivotField compact="0" outline="0" showAll="0"/>
    <pivotField compact="0" outline="0" showAll="0">
      <items count="281">
        <item sd="0" x="87"/>
        <item sd="0"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44" outline="0" showAll="0">
      <items count="4">
        <item x="1"/>
        <item x="2"/>
        <item x="0"/>
        <item t="default"/>
      </items>
    </pivotField>
    <pivotField axis="axisPage" compact="0" outline="0" multipleItemSelectionAllowed="1" showAll="0">
      <items count="4">
        <item x="1"/>
        <item h="1" x="0"/>
        <item h="1" x="2"/>
        <item t="default"/>
      </items>
    </pivotField>
    <pivotField compact="0" outline="0" showAll="0"/>
    <pivotField compact="0" outline="0" showAll="0"/>
    <pivotField compact="0" outline="0" showAll="0"/>
    <pivotField compact="0" numFmtId="44" outline="0" showAll="0"/>
    <pivotField compact="0" numFmtId="44" outline="0" showAll="0"/>
    <pivotField dataField="1" compact="0" numFmtId="4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formats count="12">
    <format dxfId="16">
      <pivotArea type="all" dataOnly="0" outline="0" fieldPosition="0"/>
    </format>
    <format dxfId="17">
      <pivotArea outline="0" collapsedLevelsAreSubtotals="1" fieldPosition="0"/>
    </format>
    <format dxfId="18">
      <pivotArea field="4" type="button" dataOnly="0" labelOnly="1" outline="0" axis="axisRow" fieldPosition="0"/>
    </format>
    <format dxfId="19">
      <pivotArea dataOnly="0" labelOnly="1" outline="0" fieldPosition="0">
        <references count="1">
          <reference field="4" count="0"/>
        </references>
      </pivotArea>
    </format>
    <format dxfId="20">
      <pivotArea dataOnly="0" labelOnly="1" grandRow="1" outline="0" fieldPosition="0"/>
    </format>
    <format dxfId="21">
      <pivotArea dataOnly="0" labelOnly="1" outline="0" axis="axisValues" fieldPosition="0"/>
    </format>
    <format dxfId="22">
      <pivotArea type="all" dataOnly="0" outline="0" fieldPosition="0"/>
    </format>
    <format dxfId="23">
      <pivotArea outline="0" collapsedLevelsAreSubtotals="1" fieldPosition="0"/>
    </format>
    <format dxfId="24">
      <pivotArea field="4" type="button" dataOnly="0" labelOnly="1" outline="0" axis="axisRow" fieldPosition="0"/>
    </format>
    <format dxfId="25">
      <pivotArea dataOnly="0" labelOnly="1" outline="0" fieldPosition="0">
        <references count="1">
          <reference field="4" count="0"/>
        </references>
      </pivotArea>
    </format>
    <format dxfId="26">
      <pivotArea dataOnly="0" labelOnly="1" grandRow="1" outline="0" fieldPosition="0"/>
    </format>
    <format dxfId="27">
      <pivotArea dataOnly="0" labelOnly="1" outline="0" axis="axisValues" fieldPosition="0"/>
    </format>
  </formats>
  <chartFormats count="4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135CD275-8714-44C3-ACB8-DEE356216148}" sourceName="Subscription Type">
  <pivotTables>
    <pivotTable tabId="3" name="tbl_annual_total"/>
    <pivotTable tabId="4" name="Tabela dinâmica3"/>
    <pivotTable tabId="3" name="tbl_easeasonpass_total"/>
    <pivotTable tabId="3" name="tbl_minecraftseaconpass_total"/>
  </pivotTables>
  <data>
    <tabular pivotCacheId="459096085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 1" xr10:uid="{EE4AD3B7-5F49-4305-A004-7DED74D5B4FF}" cache="SegmentaçãodeDados_Subscription_Type" caption="Subscription Type" style="SlicerStyleLight6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7BE503B-F825-43B2-8204-BDEEA6E6451B}" name="Tabela3" displayName="Tabela3" ref="A3:M88" totalsRowShown="0">
  <autoFilter ref="A3:M88" xr:uid="{F7BE503B-F825-43B2-8204-BDEEA6E6451B}"/>
  <tableColumns count="13">
    <tableColumn id="1" xr3:uid="{EC9CF2EB-2E07-4C7F-96BF-F69226641224}" name="Subscriber ID"/>
    <tableColumn id="2" xr3:uid="{BCBCA8F3-8D6C-4F08-9849-EDD1AA504928}" name="Name"/>
    <tableColumn id="3" xr3:uid="{69DA0116-E842-4CF5-B399-3F04E4EEDEA3}" name="Plan"/>
    <tableColumn id="4" xr3:uid="{B4492E4A-A60E-4073-8A51-826FE53DBEC3}" name="Start Date" dataDxfId="1"/>
    <tableColumn id="5" xr3:uid="{4CB893DF-83A1-41F3-A4C0-90DFE4F430C0}" name="Auto Renewal"/>
    <tableColumn id="6" xr3:uid="{BDE59E08-A51E-4011-9097-324A6810A3D7}" name="Subscription Price"/>
    <tableColumn id="7" xr3:uid="{3CFBC8B3-2BEB-4EE7-9FF4-5657FAAAEA62}" name="Subscription Type"/>
    <tableColumn id="8" xr3:uid="{655920CC-19FA-4737-A6D2-C48DAAFBB437}" name="EA Play Season Pass"/>
    <tableColumn id="9" xr3:uid="{258EA429-093D-4AD5-A106-FB8D16172B02}" name="EA Play Season Pass_x000a_Price"/>
    <tableColumn id="10" xr3:uid="{84A38EAB-AEE3-4C5D-92CD-69EEEFFA71A2}" name="Minecraft Season Pass"/>
    <tableColumn id="11" xr3:uid="{DF6F9F26-4D1F-42D9-A282-27C91592D535}" name="Minecraft Season Pass Price"/>
    <tableColumn id="12" xr3:uid="{09024A38-A657-4356-8681-872F15C16DF0}" name="Coupon Value"/>
    <tableColumn id="13" xr3:uid="{7131A7D9-4F00-49C6-B0CE-46DCE7FE173F}" name="Total 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42A4120-C710-4F11-A028-17D473F8E8BD}" name="Tabela4" displayName="Tabela4" ref="A3:M88" totalsRowShown="0">
  <autoFilter ref="A3:M88" xr:uid="{742A4120-C710-4F11-A028-17D473F8E8BD}"/>
  <tableColumns count="13">
    <tableColumn id="1" xr3:uid="{23D483A6-214B-49CC-9BE3-8DB63726FF35}" name="Subscriber ID"/>
    <tableColumn id="2" xr3:uid="{A3A4C4B5-9EEC-4255-BB83-3B04EBBD98A9}" name="Name"/>
    <tableColumn id="3" xr3:uid="{754D3DA7-2581-45F9-80A1-370139803C38}" name="Plan"/>
    <tableColumn id="4" xr3:uid="{583F8D7C-7EF8-4BD8-AE67-07F058D8F24A}" name="Start Date" dataDxfId="0"/>
    <tableColumn id="5" xr3:uid="{F94BE90B-4995-496F-A884-3CC368AFB659}" name="Auto Renewal"/>
    <tableColumn id="6" xr3:uid="{977A7B59-6327-4971-BA6D-352CB3A2355E}" name="Subscription Price"/>
    <tableColumn id="7" xr3:uid="{40D71617-4B2E-42EC-8064-94229CEE09CA}" name="Subscription Type"/>
    <tableColumn id="8" xr3:uid="{5340B859-84EA-4E26-AEA9-B39796582B12}" name="EA Play Season Pass"/>
    <tableColumn id="9" xr3:uid="{3F24E419-3C6F-4269-B899-222A411D4A81}" name="EA Play Season Pass_x000a_Price"/>
    <tableColumn id="10" xr3:uid="{A90CD10B-E350-44D9-B6A9-2084BD28FA87}" name="Minecraft Season Pass"/>
    <tableColumn id="11" xr3:uid="{98494E1C-C6F8-4231-AB19-0250BAF0EBF0}" name="Minecraft Season Pass Price"/>
    <tableColumn id="12" xr3:uid="{E2AFC383-B84A-4A61-A654-D593373EDA88}" name="Coupon Value"/>
    <tableColumn id="13" xr3:uid="{0D157D26-4E98-4395-8D55-5495BC18BCD8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4" zoomScaleNormal="100" workbookViewId="0">
      <selection activeCell="J19" sqref="J19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sqref="A1:M294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E80E-205F-4A34-BF58-8F5A700625AB}">
  <dimension ref="A1:M88"/>
  <sheetViews>
    <sheetView workbookViewId="0"/>
  </sheetViews>
  <sheetFormatPr defaultRowHeight="15"/>
  <cols>
    <col min="1" max="1" width="15.140625" bestFit="1" customWidth="1"/>
    <col min="2" max="2" width="18.14062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22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3522</v>
      </c>
      <c r="B4" t="s">
        <v>309</v>
      </c>
      <c r="C4" t="s">
        <v>29</v>
      </c>
      <c r="D4" s="21">
        <v>45639</v>
      </c>
      <c r="E4" t="s">
        <v>26</v>
      </c>
      <c r="F4">
        <v>5</v>
      </c>
      <c r="G4" t="s">
        <v>35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>
      <c r="A5">
        <v>3510</v>
      </c>
      <c r="B5" t="s">
        <v>300</v>
      </c>
      <c r="C5" t="s">
        <v>29</v>
      </c>
      <c r="D5" s="21">
        <v>45627</v>
      </c>
      <c r="E5" t="s">
        <v>26</v>
      </c>
      <c r="F5">
        <v>5</v>
      </c>
      <c r="G5" t="s">
        <v>35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3498</v>
      </c>
      <c r="B6" t="s">
        <v>289</v>
      </c>
      <c r="C6" t="s">
        <v>29</v>
      </c>
      <c r="D6" s="21">
        <v>45615</v>
      </c>
      <c r="E6" t="s">
        <v>26</v>
      </c>
      <c r="F6">
        <v>5</v>
      </c>
      <c r="G6" t="s">
        <v>35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>
      <c r="A7">
        <v>3489</v>
      </c>
      <c r="B7" t="s">
        <v>280</v>
      </c>
      <c r="C7" t="s">
        <v>29</v>
      </c>
      <c r="D7" s="21">
        <v>45606</v>
      </c>
      <c r="E7" t="s">
        <v>30</v>
      </c>
      <c r="F7">
        <v>5</v>
      </c>
      <c r="G7" t="s">
        <v>35</v>
      </c>
      <c r="H7" t="s">
        <v>30</v>
      </c>
      <c r="I7" t="s">
        <v>32</v>
      </c>
      <c r="J7" t="s">
        <v>30</v>
      </c>
      <c r="K7">
        <v>0</v>
      </c>
      <c r="L7">
        <v>1</v>
      </c>
      <c r="M7">
        <v>4</v>
      </c>
    </row>
    <row r="8" spans="1:13">
      <c r="A8">
        <v>3244</v>
      </c>
      <c r="B8" t="s">
        <v>46</v>
      </c>
      <c r="C8" t="s">
        <v>29</v>
      </c>
      <c r="D8" s="21">
        <v>45361</v>
      </c>
      <c r="E8" t="s">
        <v>26</v>
      </c>
      <c r="F8">
        <v>5</v>
      </c>
      <c r="G8" t="s">
        <v>35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>
      <c r="A9">
        <v>3484</v>
      </c>
      <c r="B9" t="s">
        <v>275</v>
      </c>
      <c r="C9" t="s">
        <v>29</v>
      </c>
      <c r="D9" s="21">
        <v>45601</v>
      </c>
      <c r="E9" t="s">
        <v>26</v>
      </c>
      <c r="F9">
        <v>5</v>
      </c>
      <c r="G9" t="s">
        <v>35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>
      <c r="A10">
        <v>3472</v>
      </c>
      <c r="B10" t="s">
        <v>264</v>
      </c>
      <c r="C10" t="s">
        <v>29</v>
      </c>
      <c r="D10" s="21">
        <v>45589</v>
      </c>
      <c r="E10" t="s">
        <v>26</v>
      </c>
      <c r="F10">
        <v>5</v>
      </c>
      <c r="G10" t="s">
        <v>35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>
      <c r="A11">
        <v>3460</v>
      </c>
      <c r="B11" t="s">
        <v>160</v>
      </c>
      <c r="C11" t="s">
        <v>29</v>
      </c>
      <c r="D11" s="21">
        <v>45577</v>
      </c>
      <c r="E11" t="s">
        <v>26</v>
      </c>
      <c r="F11">
        <v>5</v>
      </c>
      <c r="G11" t="s">
        <v>35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>
      <c r="A12">
        <v>3256</v>
      </c>
      <c r="B12" t="s">
        <v>58</v>
      </c>
      <c r="C12" t="s">
        <v>29</v>
      </c>
      <c r="D12" s="21">
        <v>45373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3448</v>
      </c>
      <c r="B13" t="s">
        <v>243</v>
      </c>
      <c r="C13" t="s">
        <v>29</v>
      </c>
      <c r="D13" s="21">
        <v>45565</v>
      </c>
      <c r="E13" t="s">
        <v>26</v>
      </c>
      <c r="F13">
        <v>5</v>
      </c>
      <c r="G13" t="s">
        <v>35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>
      <c r="A14">
        <v>3439</v>
      </c>
      <c r="B14" t="s">
        <v>235</v>
      </c>
      <c r="C14" t="s">
        <v>29</v>
      </c>
      <c r="D14" s="21">
        <v>45556</v>
      </c>
      <c r="E14" t="s">
        <v>30</v>
      </c>
      <c r="F14">
        <v>5</v>
      </c>
      <c r="G14" t="s">
        <v>35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>
      <c r="A15">
        <v>3430</v>
      </c>
      <c r="B15" t="s">
        <v>226</v>
      </c>
      <c r="C15" t="s">
        <v>29</v>
      </c>
      <c r="D15" s="21">
        <v>45547</v>
      </c>
      <c r="E15" t="s">
        <v>26</v>
      </c>
      <c r="F15">
        <v>5</v>
      </c>
      <c r="G15" t="s">
        <v>35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3269</v>
      </c>
      <c r="B16" t="s">
        <v>71</v>
      </c>
      <c r="C16" t="s">
        <v>29</v>
      </c>
      <c r="D16" s="21">
        <v>45386</v>
      </c>
      <c r="E16" t="s">
        <v>30</v>
      </c>
      <c r="F16">
        <v>5</v>
      </c>
      <c r="G16" t="s">
        <v>35</v>
      </c>
      <c r="H16" t="s">
        <v>30</v>
      </c>
      <c r="I16" t="s">
        <v>32</v>
      </c>
      <c r="J16" t="s">
        <v>30</v>
      </c>
      <c r="K16">
        <v>0</v>
      </c>
      <c r="L16">
        <v>1</v>
      </c>
      <c r="M16">
        <v>4</v>
      </c>
    </row>
    <row r="17" spans="1:13">
      <c r="A17">
        <v>3418</v>
      </c>
      <c r="B17" t="s">
        <v>217</v>
      </c>
      <c r="C17" t="s">
        <v>29</v>
      </c>
      <c r="D17" s="21">
        <v>45535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3409</v>
      </c>
      <c r="B18" t="s">
        <v>208</v>
      </c>
      <c r="C18" t="s">
        <v>29</v>
      </c>
      <c r="D18" s="21">
        <v>45526</v>
      </c>
      <c r="E18" t="s">
        <v>30</v>
      </c>
      <c r="F18">
        <v>5</v>
      </c>
      <c r="G18" t="s">
        <v>35</v>
      </c>
      <c r="H18" t="s">
        <v>30</v>
      </c>
      <c r="I18" t="s">
        <v>32</v>
      </c>
      <c r="J18" t="s">
        <v>30</v>
      </c>
      <c r="K18">
        <v>0</v>
      </c>
      <c r="L18">
        <v>1</v>
      </c>
      <c r="M18">
        <v>4</v>
      </c>
    </row>
    <row r="19" spans="1:13">
      <c r="A19">
        <v>3278</v>
      </c>
      <c r="B19" t="s">
        <v>80</v>
      </c>
      <c r="C19" t="s">
        <v>29</v>
      </c>
      <c r="D19" s="21">
        <v>45395</v>
      </c>
      <c r="E19" t="s">
        <v>26</v>
      </c>
      <c r="F19">
        <v>5</v>
      </c>
      <c r="G19" t="s">
        <v>35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>
      <c r="A20">
        <v>3402</v>
      </c>
      <c r="B20" t="s">
        <v>201</v>
      </c>
      <c r="C20" t="s">
        <v>29</v>
      </c>
      <c r="D20" s="21">
        <v>45519</v>
      </c>
      <c r="E20" t="s">
        <v>26</v>
      </c>
      <c r="F20">
        <v>5</v>
      </c>
      <c r="G20" t="s">
        <v>35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>
      <c r="A21">
        <v>3390</v>
      </c>
      <c r="B21" t="s">
        <v>191</v>
      </c>
      <c r="C21" t="s">
        <v>29</v>
      </c>
      <c r="D21" s="21">
        <v>45507</v>
      </c>
      <c r="E21" t="s">
        <v>26</v>
      </c>
      <c r="F21">
        <v>5</v>
      </c>
      <c r="G21" t="s">
        <v>35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>
      <c r="A22">
        <v>3378</v>
      </c>
      <c r="B22" t="s">
        <v>179</v>
      </c>
      <c r="C22" t="s">
        <v>29</v>
      </c>
      <c r="D22" s="21">
        <v>45495</v>
      </c>
      <c r="E22" t="s">
        <v>26</v>
      </c>
      <c r="F22">
        <v>5</v>
      </c>
      <c r="G22" t="s">
        <v>35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>
      <c r="A23">
        <v>3290</v>
      </c>
      <c r="B23" t="s">
        <v>92</v>
      </c>
      <c r="C23" t="s">
        <v>29</v>
      </c>
      <c r="D23" s="21">
        <v>45407</v>
      </c>
      <c r="E23" t="s">
        <v>26</v>
      </c>
      <c r="F23">
        <v>5</v>
      </c>
      <c r="G23" t="s">
        <v>35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3369</v>
      </c>
      <c r="B24" t="s">
        <v>170</v>
      </c>
      <c r="C24" t="s">
        <v>29</v>
      </c>
      <c r="D24" s="21">
        <v>45486</v>
      </c>
      <c r="E24" t="s">
        <v>30</v>
      </c>
      <c r="F24">
        <v>5</v>
      </c>
      <c r="G24" t="s">
        <v>35</v>
      </c>
      <c r="H24" t="s">
        <v>30</v>
      </c>
      <c r="I24" t="s">
        <v>32</v>
      </c>
      <c r="J24" t="s">
        <v>30</v>
      </c>
      <c r="K24">
        <v>0</v>
      </c>
      <c r="L24">
        <v>1</v>
      </c>
      <c r="M24">
        <v>4</v>
      </c>
    </row>
    <row r="25" spans="1:13">
      <c r="A25">
        <v>3360</v>
      </c>
      <c r="B25" t="s">
        <v>161</v>
      </c>
      <c r="C25" t="s">
        <v>29</v>
      </c>
      <c r="D25" s="21">
        <v>45477</v>
      </c>
      <c r="E25" t="s">
        <v>26</v>
      </c>
      <c r="F25">
        <v>5</v>
      </c>
      <c r="G25" t="s">
        <v>35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>
      <c r="A26">
        <v>3299</v>
      </c>
      <c r="B26" t="s">
        <v>101</v>
      </c>
      <c r="C26" t="s">
        <v>29</v>
      </c>
      <c r="D26" s="21">
        <v>45416</v>
      </c>
      <c r="E26" t="s">
        <v>26</v>
      </c>
      <c r="F26">
        <v>5</v>
      </c>
      <c r="G26" t="s">
        <v>35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>
      <c r="A27">
        <v>3348</v>
      </c>
      <c r="B27" t="s">
        <v>150</v>
      </c>
      <c r="C27" t="s">
        <v>29</v>
      </c>
      <c r="D27" s="21">
        <v>45465</v>
      </c>
      <c r="E27" t="s">
        <v>26</v>
      </c>
      <c r="F27">
        <v>5</v>
      </c>
      <c r="G27" t="s">
        <v>35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>
      <c r="A28">
        <v>3339</v>
      </c>
      <c r="B28" t="s">
        <v>141</v>
      </c>
      <c r="C28" t="s">
        <v>29</v>
      </c>
      <c r="D28" s="21">
        <v>45456</v>
      </c>
      <c r="E28" t="s">
        <v>30</v>
      </c>
      <c r="F28">
        <v>5</v>
      </c>
      <c r="G28" t="s">
        <v>35</v>
      </c>
      <c r="H28" t="s">
        <v>30</v>
      </c>
      <c r="I28" t="s">
        <v>32</v>
      </c>
      <c r="J28" t="s">
        <v>30</v>
      </c>
      <c r="K28">
        <v>0</v>
      </c>
      <c r="L28">
        <v>1</v>
      </c>
      <c r="M28">
        <v>4</v>
      </c>
    </row>
    <row r="29" spans="1:13">
      <c r="A29">
        <v>3308</v>
      </c>
      <c r="B29" t="s">
        <v>110</v>
      </c>
      <c r="C29" t="s">
        <v>29</v>
      </c>
      <c r="D29" s="21">
        <v>45425</v>
      </c>
      <c r="E29" t="s">
        <v>30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>
      <c r="A30">
        <v>3329</v>
      </c>
      <c r="B30" t="s">
        <v>131</v>
      </c>
      <c r="C30" t="s">
        <v>29</v>
      </c>
      <c r="D30" s="21">
        <v>45446</v>
      </c>
      <c r="E30" t="s">
        <v>26</v>
      </c>
      <c r="F30">
        <v>5</v>
      </c>
      <c r="G30" t="s">
        <v>35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>
      <c r="A31">
        <v>3320</v>
      </c>
      <c r="B31" t="s">
        <v>122</v>
      </c>
      <c r="C31" t="s">
        <v>29</v>
      </c>
      <c r="D31" s="21">
        <v>45437</v>
      </c>
      <c r="E31" t="s">
        <v>30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>
      <c r="A32">
        <v>3518</v>
      </c>
      <c r="B32" t="s">
        <v>305</v>
      </c>
      <c r="C32" t="s">
        <v>34</v>
      </c>
      <c r="D32" s="21">
        <v>45635</v>
      </c>
      <c r="E32" t="s">
        <v>26</v>
      </c>
      <c r="F32">
        <v>10</v>
      </c>
      <c r="G32" t="s">
        <v>35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>
      <c r="A33">
        <v>3233</v>
      </c>
      <c r="B33" t="s">
        <v>33</v>
      </c>
      <c r="C33" t="s">
        <v>34</v>
      </c>
      <c r="D33" s="21">
        <v>45332</v>
      </c>
      <c r="E33" t="s">
        <v>26</v>
      </c>
      <c r="F33">
        <v>10</v>
      </c>
      <c r="G33" t="s">
        <v>35</v>
      </c>
      <c r="H33" t="s">
        <v>30</v>
      </c>
      <c r="I33" t="s">
        <v>32</v>
      </c>
      <c r="J33" t="s">
        <v>26</v>
      </c>
      <c r="K33">
        <v>20</v>
      </c>
      <c r="L33">
        <v>10</v>
      </c>
      <c r="M33">
        <v>20</v>
      </c>
    </row>
    <row r="34" spans="1:13">
      <c r="A34">
        <v>3506</v>
      </c>
      <c r="B34" t="s">
        <v>296</v>
      </c>
      <c r="C34" t="s">
        <v>34</v>
      </c>
      <c r="D34" s="21">
        <v>45623</v>
      </c>
      <c r="E34" t="s">
        <v>26</v>
      </c>
      <c r="F34">
        <v>10</v>
      </c>
      <c r="G34" t="s">
        <v>35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>
      <c r="A35">
        <v>3240</v>
      </c>
      <c r="B35" t="s">
        <v>42</v>
      </c>
      <c r="C35" t="s">
        <v>34</v>
      </c>
      <c r="D35" s="21">
        <v>45357</v>
      </c>
      <c r="E35" t="s">
        <v>26</v>
      </c>
      <c r="F35">
        <v>10</v>
      </c>
      <c r="G35" t="s">
        <v>35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>
      <c r="A36">
        <v>3494</v>
      </c>
      <c r="B36" t="s">
        <v>285</v>
      </c>
      <c r="C36" t="s">
        <v>34</v>
      </c>
      <c r="D36" s="21">
        <v>45611</v>
      </c>
      <c r="E36" t="s">
        <v>26</v>
      </c>
      <c r="F36">
        <v>10</v>
      </c>
      <c r="G36" t="s">
        <v>35</v>
      </c>
      <c r="H36" t="s">
        <v>30</v>
      </c>
      <c r="I36" t="s">
        <v>32</v>
      </c>
      <c r="J36" t="s">
        <v>26</v>
      </c>
      <c r="K36">
        <v>20</v>
      </c>
      <c r="L36">
        <v>12</v>
      </c>
      <c r="M36">
        <v>18</v>
      </c>
    </row>
    <row r="37" spans="1:13">
      <c r="A37">
        <v>3480</v>
      </c>
      <c r="B37" t="s">
        <v>271</v>
      </c>
      <c r="C37" t="s">
        <v>34</v>
      </c>
      <c r="D37" s="21">
        <v>45597</v>
      </c>
      <c r="E37" t="s">
        <v>26</v>
      </c>
      <c r="F37">
        <v>10</v>
      </c>
      <c r="G37" t="s">
        <v>35</v>
      </c>
      <c r="H37" t="s">
        <v>30</v>
      </c>
      <c r="I37" t="s">
        <v>32</v>
      </c>
      <c r="J37" t="s">
        <v>26</v>
      </c>
      <c r="K37">
        <v>20</v>
      </c>
      <c r="L37">
        <v>15</v>
      </c>
      <c r="M37">
        <v>15</v>
      </c>
    </row>
    <row r="38" spans="1:13">
      <c r="A38">
        <v>3468</v>
      </c>
      <c r="B38" t="s">
        <v>260</v>
      </c>
      <c r="C38" t="s">
        <v>34</v>
      </c>
      <c r="D38" s="21">
        <v>45585</v>
      </c>
      <c r="E38" t="s">
        <v>26</v>
      </c>
      <c r="F38">
        <v>10</v>
      </c>
      <c r="G38" t="s">
        <v>35</v>
      </c>
      <c r="H38" t="s">
        <v>30</v>
      </c>
      <c r="I38" t="s">
        <v>32</v>
      </c>
      <c r="J38" t="s">
        <v>26</v>
      </c>
      <c r="K38">
        <v>20</v>
      </c>
      <c r="L38">
        <v>12</v>
      </c>
      <c r="M38">
        <v>18</v>
      </c>
    </row>
    <row r="39" spans="1:13">
      <c r="A39">
        <v>3252</v>
      </c>
      <c r="B39" t="s">
        <v>54</v>
      </c>
      <c r="C39" t="s">
        <v>34</v>
      </c>
      <c r="D39" s="21">
        <v>45369</v>
      </c>
      <c r="E39" t="s">
        <v>26</v>
      </c>
      <c r="F39">
        <v>10</v>
      </c>
      <c r="G39" t="s">
        <v>35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>
      <c r="A40">
        <v>3456</v>
      </c>
      <c r="B40" t="s">
        <v>249</v>
      </c>
      <c r="C40" t="s">
        <v>34</v>
      </c>
      <c r="D40" s="21">
        <v>45573</v>
      </c>
      <c r="E40" t="s">
        <v>26</v>
      </c>
      <c r="F40">
        <v>10</v>
      </c>
      <c r="G40" t="s">
        <v>35</v>
      </c>
      <c r="H40" t="s">
        <v>30</v>
      </c>
      <c r="I40" t="s">
        <v>32</v>
      </c>
      <c r="J40" t="s">
        <v>26</v>
      </c>
      <c r="K40">
        <v>20</v>
      </c>
      <c r="L40">
        <v>15</v>
      </c>
      <c r="M40">
        <v>15</v>
      </c>
    </row>
    <row r="41" spans="1:13">
      <c r="A41">
        <v>3444</v>
      </c>
      <c r="B41" t="s">
        <v>240</v>
      </c>
      <c r="C41" t="s">
        <v>34</v>
      </c>
      <c r="D41" s="21">
        <v>45561</v>
      </c>
      <c r="E41" t="s">
        <v>26</v>
      </c>
      <c r="F41">
        <v>10</v>
      </c>
      <c r="G41" t="s">
        <v>35</v>
      </c>
      <c r="H41" t="s">
        <v>30</v>
      </c>
      <c r="I41" t="s">
        <v>32</v>
      </c>
      <c r="J41" t="s">
        <v>26</v>
      </c>
      <c r="K41">
        <v>20</v>
      </c>
      <c r="L41">
        <v>12</v>
      </c>
      <c r="M41">
        <v>18</v>
      </c>
    </row>
    <row r="42" spans="1:13">
      <c r="A42">
        <v>3264</v>
      </c>
      <c r="B42" t="s">
        <v>66</v>
      </c>
      <c r="C42" t="s">
        <v>34</v>
      </c>
      <c r="D42" s="21">
        <v>45381</v>
      </c>
      <c r="E42" t="s">
        <v>26</v>
      </c>
      <c r="F42">
        <v>10</v>
      </c>
      <c r="G42" t="s">
        <v>35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>
      <c r="A43">
        <v>3426</v>
      </c>
      <c r="B43" t="s">
        <v>200</v>
      </c>
      <c r="C43" t="s">
        <v>34</v>
      </c>
      <c r="D43" s="21">
        <v>45543</v>
      </c>
      <c r="E43" t="s">
        <v>26</v>
      </c>
      <c r="F43">
        <v>10</v>
      </c>
      <c r="G43" t="s">
        <v>35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>
      <c r="A44">
        <v>3414</v>
      </c>
      <c r="B44" t="s">
        <v>213</v>
      </c>
      <c r="C44" t="s">
        <v>34</v>
      </c>
      <c r="D44" s="21">
        <v>45531</v>
      </c>
      <c r="E44" t="s">
        <v>26</v>
      </c>
      <c r="F44">
        <v>10</v>
      </c>
      <c r="G44" t="s">
        <v>35</v>
      </c>
      <c r="H44" t="s">
        <v>30</v>
      </c>
      <c r="I44" t="s">
        <v>32</v>
      </c>
      <c r="J44" t="s">
        <v>26</v>
      </c>
      <c r="K44">
        <v>20</v>
      </c>
      <c r="L44">
        <v>12</v>
      </c>
      <c r="M44">
        <v>18</v>
      </c>
    </row>
    <row r="45" spans="1:13">
      <c r="A45">
        <v>3274</v>
      </c>
      <c r="B45" t="s">
        <v>76</v>
      </c>
      <c r="C45" t="s">
        <v>34</v>
      </c>
      <c r="D45" s="21">
        <v>45391</v>
      </c>
      <c r="E45" t="s">
        <v>26</v>
      </c>
      <c r="F45">
        <v>10</v>
      </c>
      <c r="G45" t="s">
        <v>35</v>
      </c>
      <c r="H45" t="s">
        <v>30</v>
      </c>
      <c r="I45" t="s">
        <v>32</v>
      </c>
      <c r="J45" t="s">
        <v>26</v>
      </c>
      <c r="K45">
        <v>20</v>
      </c>
      <c r="L45">
        <v>12</v>
      </c>
      <c r="M45">
        <v>18</v>
      </c>
    </row>
    <row r="46" spans="1:13">
      <c r="A46">
        <v>3398</v>
      </c>
      <c r="B46" t="s">
        <v>197</v>
      </c>
      <c r="C46" t="s">
        <v>34</v>
      </c>
      <c r="D46" s="21">
        <v>45515</v>
      </c>
      <c r="E46" t="s">
        <v>26</v>
      </c>
      <c r="F46">
        <v>10</v>
      </c>
      <c r="G46" t="s">
        <v>35</v>
      </c>
      <c r="H46" t="s">
        <v>30</v>
      </c>
      <c r="I46" t="s">
        <v>32</v>
      </c>
      <c r="J46" t="s">
        <v>26</v>
      </c>
      <c r="K46">
        <v>20</v>
      </c>
      <c r="L46">
        <v>15</v>
      </c>
      <c r="M46">
        <v>15</v>
      </c>
    </row>
    <row r="47" spans="1:13">
      <c r="A47">
        <v>3386</v>
      </c>
      <c r="B47" t="s">
        <v>187</v>
      </c>
      <c r="C47" t="s">
        <v>34</v>
      </c>
      <c r="D47" s="21">
        <v>45503</v>
      </c>
      <c r="E47" t="s">
        <v>26</v>
      </c>
      <c r="F47">
        <v>10</v>
      </c>
      <c r="G47" t="s">
        <v>35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>
      <c r="A48">
        <v>3286</v>
      </c>
      <c r="B48" t="s">
        <v>88</v>
      </c>
      <c r="C48" t="s">
        <v>34</v>
      </c>
      <c r="D48" s="21">
        <v>45403</v>
      </c>
      <c r="E48" t="s">
        <v>26</v>
      </c>
      <c r="F48">
        <v>10</v>
      </c>
      <c r="G48" t="s">
        <v>35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>
      <c r="A49">
        <v>3374</v>
      </c>
      <c r="B49" t="s">
        <v>175</v>
      </c>
      <c r="C49" t="s">
        <v>34</v>
      </c>
      <c r="D49" s="21">
        <v>45491</v>
      </c>
      <c r="E49" t="s">
        <v>26</v>
      </c>
      <c r="F49">
        <v>10</v>
      </c>
      <c r="G49" t="s">
        <v>35</v>
      </c>
      <c r="H49" t="s">
        <v>30</v>
      </c>
      <c r="I49" t="s">
        <v>32</v>
      </c>
      <c r="J49" t="s">
        <v>26</v>
      </c>
      <c r="K49">
        <v>20</v>
      </c>
      <c r="L49">
        <v>12</v>
      </c>
      <c r="M49">
        <v>18</v>
      </c>
    </row>
    <row r="50" spans="1:13">
      <c r="A50">
        <v>3356</v>
      </c>
      <c r="B50" t="s">
        <v>157</v>
      </c>
      <c r="C50" t="s">
        <v>34</v>
      </c>
      <c r="D50" s="21">
        <v>45473</v>
      </c>
      <c r="E50" t="s">
        <v>26</v>
      </c>
      <c r="F50">
        <v>10</v>
      </c>
      <c r="G50" t="s">
        <v>35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>
      <c r="A51">
        <v>3344</v>
      </c>
      <c r="B51" t="s">
        <v>146</v>
      </c>
      <c r="C51" t="s">
        <v>34</v>
      </c>
      <c r="D51" s="21">
        <v>45461</v>
      </c>
      <c r="E51" t="s">
        <v>26</v>
      </c>
      <c r="F51">
        <v>10</v>
      </c>
      <c r="G51" t="s">
        <v>35</v>
      </c>
      <c r="H51" t="s">
        <v>30</v>
      </c>
      <c r="I51" t="s">
        <v>32</v>
      </c>
      <c r="J51" t="s">
        <v>26</v>
      </c>
      <c r="K51">
        <v>20</v>
      </c>
      <c r="L51">
        <v>12</v>
      </c>
      <c r="M51">
        <v>18</v>
      </c>
    </row>
    <row r="52" spans="1:13">
      <c r="A52">
        <v>3304</v>
      </c>
      <c r="B52" t="s">
        <v>106</v>
      </c>
      <c r="C52" t="s">
        <v>34</v>
      </c>
      <c r="D52" s="21">
        <v>45421</v>
      </c>
      <c r="E52" t="s">
        <v>30</v>
      </c>
      <c r="F52">
        <v>10</v>
      </c>
      <c r="G52" t="s">
        <v>35</v>
      </c>
      <c r="H52" t="s">
        <v>30</v>
      </c>
      <c r="I52" t="s">
        <v>32</v>
      </c>
      <c r="J52" t="s">
        <v>26</v>
      </c>
      <c r="K52">
        <v>20</v>
      </c>
      <c r="L52">
        <v>12</v>
      </c>
      <c r="M52">
        <v>18</v>
      </c>
    </row>
    <row r="53" spans="1:13">
      <c r="A53">
        <v>3334</v>
      </c>
      <c r="B53" t="s">
        <v>136</v>
      </c>
      <c r="C53" t="s">
        <v>34</v>
      </c>
      <c r="D53" s="21">
        <v>45451</v>
      </c>
      <c r="E53" t="s">
        <v>30</v>
      </c>
      <c r="F53">
        <v>10</v>
      </c>
      <c r="G53" t="s">
        <v>35</v>
      </c>
      <c r="H53" t="s">
        <v>30</v>
      </c>
      <c r="I53" t="s">
        <v>32</v>
      </c>
      <c r="J53" t="s">
        <v>26</v>
      </c>
      <c r="K53">
        <v>20</v>
      </c>
      <c r="L53">
        <v>12</v>
      </c>
      <c r="M53">
        <v>18</v>
      </c>
    </row>
    <row r="54" spans="1:13">
      <c r="A54">
        <v>3325</v>
      </c>
      <c r="B54" t="s">
        <v>127</v>
      </c>
      <c r="C54" t="s">
        <v>34</v>
      </c>
      <c r="D54" s="21">
        <v>45442</v>
      </c>
      <c r="E54" t="s">
        <v>26</v>
      </c>
      <c r="F54">
        <v>10</v>
      </c>
      <c r="G54" t="s">
        <v>35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>
      <c r="A55">
        <v>3316</v>
      </c>
      <c r="B55" t="s">
        <v>118</v>
      </c>
      <c r="C55" t="s">
        <v>34</v>
      </c>
      <c r="D55" s="21">
        <v>45433</v>
      </c>
      <c r="E55" t="s">
        <v>30</v>
      </c>
      <c r="F55">
        <v>10</v>
      </c>
      <c r="G55" t="s">
        <v>35</v>
      </c>
      <c r="H55" t="s">
        <v>30</v>
      </c>
      <c r="I55" t="s">
        <v>32</v>
      </c>
      <c r="J55" t="s">
        <v>26</v>
      </c>
      <c r="K55">
        <v>20</v>
      </c>
      <c r="L55">
        <v>15</v>
      </c>
      <c r="M55">
        <v>15</v>
      </c>
    </row>
    <row r="56" spans="1:13">
      <c r="A56">
        <v>3514</v>
      </c>
      <c r="B56" t="s">
        <v>304</v>
      </c>
      <c r="C56" t="s">
        <v>25</v>
      </c>
      <c r="D56" s="21">
        <v>45631</v>
      </c>
      <c r="E56" t="s">
        <v>26</v>
      </c>
      <c r="F56">
        <v>15</v>
      </c>
      <c r="G56" t="s">
        <v>35</v>
      </c>
      <c r="H56" t="s">
        <v>26</v>
      </c>
      <c r="I56">
        <v>30</v>
      </c>
      <c r="J56" t="s">
        <v>26</v>
      </c>
      <c r="K56">
        <v>20</v>
      </c>
      <c r="L56">
        <v>7</v>
      </c>
      <c r="M56">
        <v>58</v>
      </c>
    </row>
    <row r="57" spans="1:13">
      <c r="A57">
        <v>3237</v>
      </c>
      <c r="B57" t="s">
        <v>39</v>
      </c>
      <c r="C57" t="s">
        <v>25</v>
      </c>
      <c r="D57" s="21">
        <v>45354</v>
      </c>
      <c r="E57" t="s">
        <v>26</v>
      </c>
      <c r="F57">
        <v>15</v>
      </c>
      <c r="G57" t="s">
        <v>35</v>
      </c>
      <c r="H57" t="s">
        <v>26</v>
      </c>
      <c r="I57">
        <v>30</v>
      </c>
      <c r="J57" t="s">
        <v>26</v>
      </c>
      <c r="K57">
        <v>20</v>
      </c>
      <c r="L57">
        <v>10</v>
      </c>
      <c r="M57">
        <v>55</v>
      </c>
    </row>
    <row r="58" spans="1:13">
      <c r="A58">
        <v>3502</v>
      </c>
      <c r="B58" t="s">
        <v>293</v>
      </c>
      <c r="C58" t="s">
        <v>25</v>
      </c>
      <c r="D58" s="21">
        <v>45619</v>
      </c>
      <c r="E58" t="s">
        <v>26</v>
      </c>
      <c r="F58">
        <v>15</v>
      </c>
      <c r="G58" t="s">
        <v>35</v>
      </c>
      <c r="H58" t="s">
        <v>26</v>
      </c>
      <c r="I58">
        <v>30</v>
      </c>
      <c r="J58" t="s">
        <v>26</v>
      </c>
      <c r="K58">
        <v>20</v>
      </c>
      <c r="L58">
        <v>7</v>
      </c>
      <c r="M58">
        <v>58</v>
      </c>
    </row>
    <row r="59" spans="1:13">
      <c r="A59">
        <v>3493</v>
      </c>
      <c r="B59" t="s">
        <v>284</v>
      </c>
      <c r="C59" t="s">
        <v>25</v>
      </c>
      <c r="D59" s="21">
        <v>45610</v>
      </c>
      <c r="E59" t="s">
        <v>30</v>
      </c>
      <c r="F59">
        <v>15</v>
      </c>
      <c r="G59" t="s">
        <v>35</v>
      </c>
      <c r="H59" t="s">
        <v>26</v>
      </c>
      <c r="I59">
        <v>30</v>
      </c>
      <c r="J59" t="s">
        <v>26</v>
      </c>
      <c r="K59">
        <v>20</v>
      </c>
      <c r="L59">
        <v>20</v>
      </c>
      <c r="M59">
        <v>45</v>
      </c>
    </row>
    <row r="60" spans="1:13">
      <c r="A60">
        <v>3487</v>
      </c>
      <c r="B60" t="s">
        <v>278</v>
      </c>
      <c r="C60" t="s">
        <v>25</v>
      </c>
      <c r="D60" s="21">
        <v>45604</v>
      </c>
      <c r="E60" t="s">
        <v>30</v>
      </c>
      <c r="F60">
        <v>15</v>
      </c>
      <c r="G60" t="s">
        <v>35</v>
      </c>
      <c r="H60" t="s">
        <v>26</v>
      </c>
      <c r="I60">
        <v>30</v>
      </c>
      <c r="J60" t="s">
        <v>26</v>
      </c>
      <c r="K60">
        <v>20</v>
      </c>
      <c r="L60">
        <v>7</v>
      </c>
      <c r="M60">
        <v>58</v>
      </c>
    </row>
    <row r="61" spans="1:13">
      <c r="A61">
        <v>3248</v>
      </c>
      <c r="B61" t="s">
        <v>50</v>
      </c>
      <c r="C61" t="s">
        <v>25</v>
      </c>
      <c r="D61" s="21">
        <v>45365</v>
      </c>
      <c r="E61" t="s">
        <v>26</v>
      </c>
      <c r="F61">
        <v>15</v>
      </c>
      <c r="G61" t="s">
        <v>35</v>
      </c>
      <c r="H61" t="s">
        <v>26</v>
      </c>
      <c r="I61">
        <v>30</v>
      </c>
      <c r="J61" t="s">
        <v>26</v>
      </c>
      <c r="K61">
        <v>20</v>
      </c>
      <c r="L61">
        <v>7</v>
      </c>
      <c r="M61">
        <v>58</v>
      </c>
    </row>
    <row r="62" spans="1:13">
      <c r="A62">
        <v>3476</v>
      </c>
      <c r="B62" t="s">
        <v>267</v>
      </c>
      <c r="C62" t="s">
        <v>25</v>
      </c>
      <c r="D62" s="21">
        <v>45593</v>
      </c>
      <c r="E62" t="s">
        <v>26</v>
      </c>
      <c r="F62">
        <v>15</v>
      </c>
      <c r="G62" t="s">
        <v>35</v>
      </c>
      <c r="H62" t="s">
        <v>26</v>
      </c>
      <c r="I62">
        <v>30</v>
      </c>
      <c r="J62" t="s">
        <v>26</v>
      </c>
      <c r="K62">
        <v>20</v>
      </c>
      <c r="L62">
        <v>7</v>
      </c>
      <c r="M62">
        <v>58</v>
      </c>
    </row>
    <row r="63" spans="1:13">
      <c r="A63">
        <v>3464</v>
      </c>
      <c r="B63" t="s">
        <v>256</v>
      </c>
      <c r="C63" t="s">
        <v>25</v>
      </c>
      <c r="D63" s="21">
        <v>45581</v>
      </c>
      <c r="E63" t="s">
        <v>26</v>
      </c>
      <c r="F63">
        <v>15</v>
      </c>
      <c r="G63" t="s">
        <v>35</v>
      </c>
      <c r="H63" t="s">
        <v>26</v>
      </c>
      <c r="I63">
        <v>30</v>
      </c>
      <c r="J63" t="s">
        <v>26</v>
      </c>
      <c r="K63">
        <v>20</v>
      </c>
      <c r="L63">
        <v>7</v>
      </c>
      <c r="M63">
        <v>58</v>
      </c>
    </row>
    <row r="64" spans="1:13">
      <c r="A64">
        <v>3452</v>
      </c>
      <c r="B64" t="s">
        <v>224</v>
      </c>
      <c r="C64" t="s">
        <v>25</v>
      </c>
      <c r="D64" s="21">
        <v>45569</v>
      </c>
      <c r="E64" t="s">
        <v>26</v>
      </c>
      <c r="F64">
        <v>15</v>
      </c>
      <c r="G64" t="s">
        <v>35</v>
      </c>
      <c r="H64" t="s">
        <v>26</v>
      </c>
      <c r="I64">
        <v>30</v>
      </c>
      <c r="J64" t="s">
        <v>26</v>
      </c>
      <c r="K64">
        <v>20</v>
      </c>
      <c r="L64">
        <v>7</v>
      </c>
      <c r="M64">
        <v>58</v>
      </c>
    </row>
    <row r="65" spans="1:13">
      <c r="A65">
        <v>3260</v>
      </c>
      <c r="B65" t="s">
        <v>62</v>
      </c>
      <c r="C65" t="s">
        <v>25</v>
      </c>
      <c r="D65" s="21">
        <v>45377</v>
      </c>
      <c r="E65" t="s">
        <v>26</v>
      </c>
      <c r="F65">
        <v>15</v>
      </c>
      <c r="G65" t="s">
        <v>35</v>
      </c>
      <c r="H65" t="s">
        <v>26</v>
      </c>
      <c r="I65">
        <v>30</v>
      </c>
      <c r="J65" t="s">
        <v>26</v>
      </c>
      <c r="K65">
        <v>20</v>
      </c>
      <c r="L65">
        <v>7</v>
      </c>
      <c r="M65">
        <v>58</v>
      </c>
    </row>
    <row r="66" spans="1:13">
      <c r="A66">
        <v>3443</v>
      </c>
      <c r="B66" t="s">
        <v>239</v>
      </c>
      <c r="C66" t="s">
        <v>25</v>
      </c>
      <c r="D66" s="21">
        <v>45560</v>
      </c>
      <c r="E66" t="s">
        <v>30</v>
      </c>
      <c r="F66">
        <v>15</v>
      </c>
      <c r="G66" t="s">
        <v>35</v>
      </c>
      <c r="H66" t="s">
        <v>26</v>
      </c>
      <c r="I66">
        <v>30</v>
      </c>
      <c r="J66" t="s">
        <v>26</v>
      </c>
      <c r="K66">
        <v>20</v>
      </c>
      <c r="L66">
        <v>20</v>
      </c>
      <c r="M66">
        <v>45</v>
      </c>
    </row>
    <row r="67" spans="1:13">
      <c r="A67">
        <v>3437</v>
      </c>
      <c r="B67" t="s">
        <v>233</v>
      </c>
      <c r="C67" t="s">
        <v>25</v>
      </c>
      <c r="D67" s="21">
        <v>45554</v>
      </c>
      <c r="E67" t="s">
        <v>30</v>
      </c>
      <c r="F67">
        <v>15</v>
      </c>
      <c r="G67" t="s">
        <v>35</v>
      </c>
      <c r="H67" t="s">
        <v>26</v>
      </c>
      <c r="I67">
        <v>30</v>
      </c>
      <c r="J67" t="s">
        <v>26</v>
      </c>
      <c r="K67">
        <v>20</v>
      </c>
      <c r="L67">
        <v>7</v>
      </c>
      <c r="M67">
        <v>58</v>
      </c>
    </row>
    <row r="68" spans="1:13">
      <c r="A68">
        <v>3434</v>
      </c>
      <c r="B68" t="s">
        <v>230</v>
      </c>
      <c r="C68" t="s">
        <v>25</v>
      </c>
      <c r="D68" s="21">
        <v>45551</v>
      </c>
      <c r="E68" t="s">
        <v>26</v>
      </c>
      <c r="F68">
        <v>15</v>
      </c>
      <c r="G68" t="s">
        <v>35</v>
      </c>
      <c r="H68" t="s">
        <v>26</v>
      </c>
      <c r="I68">
        <v>30</v>
      </c>
      <c r="J68" t="s">
        <v>26</v>
      </c>
      <c r="K68">
        <v>20</v>
      </c>
      <c r="L68">
        <v>7</v>
      </c>
      <c r="M68">
        <v>58</v>
      </c>
    </row>
    <row r="69" spans="1:13">
      <c r="A69">
        <v>3267</v>
      </c>
      <c r="B69" t="s">
        <v>69</v>
      </c>
      <c r="C69" t="s">
        <v>25</v>
      </c>
      <c r="D69" s="21">
        <v>45384</v>
      </c>
      <c r="E69" t="s">
        <v>30</v>
      </c>
      <c r="F69">
        <v>15</v>
      </c>
      <c r="G69" t="s">
        <v>35</v>
      </c>
      <c r="H69" t="s">
        <v>26</v>
      </c>
      <c r="I69">
        <v>30</v>
      </c>
      <c r="J69" t="s">
        <v>26</v>
      </c>
      <c r="K69">
        <v>20</v>
      </c>
      <c r="L69">
        <v>7</v>
      </c>
      <c r="M69">
        <v>58</v>
      </c>
    </row>
    <row r="70" spans="1:13">
      <c r="A70">
        <v>3422</v>
      </c>
      <c r="B70" t="s">
        <v>220</v>
      </c>
      <c r="C70" t="s">
        <v>25</v>
      </c>
      <c r="D70" s="21">
        <v>45539</v>
      </c>
      <c r="E70" t="s">
        <v>26</v>
      </c>
      <c r="F70">
        <v>15</v>
      </c>
      <c r="G70" t="s">
        <v>35</v>
      </c>
      <c r="H70" t="s">
        <v>26</v>
      </c>
      <c r="I70">
        <v>30</v>
      </c>
      <c r="J70" t="s">
        <v>26</v>
      </c>
      <c r="K70">
        <v>20</v>
      </c>
      <c r="L70">
        <v>7</v>
      </c>
      <c r="M70">
        <v>58</v>
      </c>
    </row>
    <row r="71" spans="1:13">
      <c r="A71">
        <v>3273</v>
      </c>
      <c r="B71" t="s">
        <v>75</v>
      </c>
      <c r="C71" t="s">
        <v>25</v>
      </c>
      <c r="D71" s="21">
        <v>45390</v>
      </c>
      <c r="E71" t="s">
        <v>30</v>
      </c>
      <c r="F71">
        <v>15</v>
      </c>
      <c r="G71" t="s">
        <v>35</v>
      </c>
      <c r="H71" t="s">
        <v>26</v>
      </c>
      <c r="I71">
        <v>30</v>
      </c>
      <c r="J71" t="s">
        <v>26</v>
      </c>
      <c r="K71">
        <v>20</v>
      </c>
      <c r="L71">
        <v>20</v>
      </c>
      <c r="M71">
        <v>45</v>
      </c>
    </row>
    <row r="72" spans="1:13">
      <c r="A72">
        <v>3413</v>
      </c>
      <c r="B72" t="s">
        <v>212</v>
      </c>
      <c r="C72" t="s">
        <v>25</v>
      </c>
      <c r="D72" s="21">
        <v>45530</v>
      </c>
      <c r="E72" t="s">
        <v>30</v>
      </c>
      <c r="F72">
        <v>15</v>
      </c>
      <c r="G72" t="s">
        <v>35</v>
      </c>
      <c r="H72" t="s">
        <v>26</v>
      </c>
      <c r="I72">
        <v>30</v>
      </c>
      <c r="J72" t="s">
        <v>26</v>
      </c>
      <c r="K72">
        <v>20</v>
      </c>
      <c r="L72">
        <v>20</v>
      </c>
      <c r="M72">
        <v>45</v>
      </c>
    </row>
    <row r="73" spans="1:13">
      <c r="A73">
        <v>3407</v>
      </c>
      <c r="B73" t="s">
        <v>206</v>
      </c>
      <c r="C73" t="s">
        <v>25</v>
      </c>
      <c r="D73" s="21">
        <v>45524</v>
      </c>
      <c r="E73" t="s">
        <v>30</v>
      </c>
      <c r="F73">
        <v>15</v>
      </c>
      <c r="G73" t="s">
        <v>35</v>
      </c>
      <c r="H73" t="s">
        <v>26</v>
      </c>
      <c r="I73">
        <v>30</v>
      </c>
      <c r="J73" t="s">
        <v>26</v>
      </c>
      <c r="K73">
        <v>20</v>
      </c>
      <c r="L73">
        <v>7</v>
      </c>
      <c r="M73">
        <v>58</v>
      </c>
    </row>
    <row r="74" spans="1:13">
      <c r="A74">
        <v>3394</v>
      </c>
      <c r="B74" t="s">
        <v>194</v>
      </c>
      <c r="C74" t="s">
        <v>25</v>
      </c>
      <c r="D74" s="21">
        <v>45511</v>
      </c>
      <c r="E74" t="s">
        <v>26</v>
      </c>
      <c r="F74">
        <v>15</v>
      </c>
      <c r="G74" t="s">
        <v>35</v>
      </c>
      <c r="H74" t="s">
        <v>26</v>
      </c>
      <c r="I74">
        <v>30</v>
      </c>
      <c r="J74" t="s">
        <v>26</v>
      </c>
      <c r="K74">
        <v>20</v>
      </c>
      <c r="L74">
        <v>7</v>
      </c>
      <c r="M74">
        <v>58</v>
      </c>
    </row>
    <row r="75" spans="1:13">
      <c r="A75">
        <v>3282</v>
      </c>
      <c r="B75" t="s">
        <v>84</v>
      </c>
      <c r="C75" t="s">
        <v>25</v>
      </c>
      <c r="D75" s="21">
        <v>45399</v>
      </c>
      <c r="E75" t="s">
        <v>26</v>
      </c>
      <c r="F75">
        <v>15</v>
      </c>
      <c r="G75" t="s">
        <v>35</v>
      </c>
      <c r="H75" t="s">
        <v>26</v>
      </c>
      <c r="I75">
        <v>30</v>
      </c>
      <c r="J75" t="s">
        <v>26</v>
      </c>
      <c r="K75">
        <v>20</v>
      </c>
      <c r="L75">
        <v>7</v>
      </c>
      <c r="M75">
        <v>58</v>
      </c>
    </row>
    <row r="76" spans="1:13">
      <c r="A76">
        <v>3382</v>
      </c>
      <c r="B76" t="s">
        <v>183</v>
      </c>
      <c r="C76" t="s">
        <v>25</v>
      </c>
      <c r="D76" s="21">
        <v>45499</v>
      </c>
      <c r="E76" t="s">
        <v>26</v>
      </c>
      <c r="F76">
        <v>15</v>
      </c>
      <c r="G76" t="s">
        <v>35</v>
      </c>
      <c r="H76" t="s">
        <v>26</v>
      </c>
      <c r="I76">
        <v>30</v>
      </c>
      <c r="J76" t="s">
        <v>26</v>
      </c>
      <c r="K76">
        <v>20</v>
      </c>
      <c r="L76">
        <v>7</v>
      </c>
      <c r="M76">
        <v>58</v>
      </c>
    </row>
    <row r="77" spans="1:13">
      <c r="A77">
        <v>3373</v>
      </c>
      <c r="B77" t="s">
        <v>174</v>
      </c>
      <c r="C77" t="s">
        <v>25</v>
      </c>
      <c r="D77" s="21">
        <v>45490</v>
      </c>
      <c r="E77" t="s">
        <v>30</v>
      </c>
      <c r="F77">
        <v>15</v>
      </c>
      <c r="G77" t="s">
        <v>35</v>
      </c>
      <c r="H77" t="s">
        <v>26</v>
      </c>
      <c r="I77">
        <v>30</v>
      </c>
      <c r="J77" t="s">
        <v>26</v>
      </c>
      <c r="K77">
        <v>20</v>
      </c>
      <c r="L77">
        <v>20</v>
      </c>
      <c r="M77">
        <v>45</v>
      </c>
    </row>
    <row r="78" spans="1:13">
      <c r="A78">
        <v>3367</v>
      </c>
      <c r="B78" t="s">
        <v>168</v>
      </c>
      <c r="C78" t="s">
        <v>25</v>
      </c>
      <c r="D78" s="21">
        <v>45484</v>
      </c>
      <c r="E78" t="s">
        <v>30</v>
      </c>
      <c r="F78">
        <v>15</v>
      </c>
      <c r="G78" t="s">
        <v>35</v>
      </c>
      <c r="H78" t="s">
        <v>26</v>
      </c>
      <c r="I78">
        <v>30</v>
      </c>
      <c r="J78" t="s">
        <v>26</v>
      </c>
      <c r="K78">
        <v>20</v>
      </c>
      <c r="L78">
        <v>7</v>
      </c>
      <c r="M78">
        <v>58</v>
      </c>
    </row>
    <row r="79" spans="1:13">
      <c r="A79">
        <v>3364</v>
      </c>
      <c r="B79" t="s">
        <v>165</v>
      </c>
      <c r="C79" t="s">
        <v>25</v>
      </c>
      <c r="D79" s="21">
        <v>45481</v>
      </c>
      <c r="E79" t="s">
        <v>26</v>
      </c>
      <c r="F79">
        <v>15</v>
      </c>
      <c r="G79" t="s">
        <v>35</v>
      </c>
      <c r="H79" t="s">
        <v>26</v>
      </c>
      <c r="I79">
        <v>30</v>
      </c>
      <c r="J79" t="s">
        <v>26</v>
      </c>
      <c r="K79">
        <v>20</v>
      </c>
      <c r="L79">
        <v>7</v>
      </c>
      <c r="M79">
        <v>58</v>
      </c>
    </row>
    <row r="80" spans="1:13">
      <c r="A80">
        <v>3294</v>
      </c>
      <c r="B80" t="s">
        <v>96</v>
      </c>
      <c r="C80" t="s">
        <v>25</v>
      </c>
      <c r="D80" s="21">
        <v>45411</v>
      </c>
      <c r="E80" t="s">
        <v>26</v>
      </c>
      <c r="F80">
        <v>15</v>
      </c>
      <c r="G80" t="s">
        <v>35</v>
      </c>
      <c r="H80" t="s">
        <v>26</v>
      </c>
      <c r="I80">
        <v>30</v>
      </c>
      <c r="J80" t="s">
        <v>26</v>
      </c>
      <c r="K80">
        <v>20</v>
      </c>
      <c r="L80">
        <v>20</v>
      </c>
      <c r="M80">
        <v>45</v>
      </c>
    </row>
    <row r="81" spans="1:13">
      <c r="A81">
        <v>3297</v>
      </c>
      <c r="B81" t="s">
        <v>99</v>
      </c>
      <c r="C81" t="s">
        <v>25</v>
      </c>
      <c r="D81" s="21">
        <v>45414</v>
      </c>
      <c r="E81" t="s">
        <v>26</v>
      </c>
      <c r="F81">
        <v>15</v>
      </c>
      <c r="G81" t="s">
        <v>35</v>
      </c>
      <c r="H81" t="s">
        <v>26</v>
      </c>
      <c r="I81">
        <v>30</v>
      </c>
      <c r="J81" t="s">
        <v>26</v>
      </c>
      <c r="K81">
        <v>20</v>
      </c>
      <c r="L81">
        <v>7</v>
      </c>
      <c r="M81">
        <v>58</v>
      </c>
    </row>
    <row r="82" spans="1:13">
      <c r="A82">
        <v>3352</v>
      </c>
      <c r="B82" t="s">
        <v>153</v>
      </c>
      <c r="C82" t="s">
        <v>25</v>
      </c>
      <c r="D82" s="21">
        <v>45469</v>
      </c>
      <c r="E82" t="s">
        <v>26</v>
      </c>
      <c r="F82">
        <v>15</v>
      </c>
      <c r="G82" t="s">
        <v>35</v>
      </c>
      <c r="H82" t="s">
        <v>26</v>
      </c>
      <c r="I82">
        <v>30</v>
      </c>
      <c r="J82" t="s">
        <v>26</v>
      </c>
      <c r="K82">
        <v>20</v>
      </c>
      <c r="L82">
        <v>7</v>
      </c>
      <c r="M82">
        <v>58</v>
      </c>
    </row>
    <row r="83" spans="1:13">
      <c r="A83">
        <v>3343</v>
      </c>
      <c r="B83" t="s">
        <v>145</v>
      </c>
      <c r="C83" t="s">
        <v>25</v>
      </c>
      <c r="D83" s="21">
        <v>45460</v>
      </c>
      <c r="E83" t="s">
        <v>30</v>
      </c>
      <c r="F83">
        <v>15</v>
      </c>
      <c r="G83" t="s">
        <v>35</v>
      </c>
      <c r="H83" t="s">
        <v>26</v>
      </c>
      <c r="I83">
        <v>30</v>
      </c>
      <c r="J83" t="s">
        <v>26</v>
      </c>
      <c r="K83">
        <v>20</v>
      </c>
      <c r="L83">
        <v>20</v>
      </c>
      <c r="M83">
        <v>45</v>
      </c>
    </row>
    <row r="84" spans="1:13">
      <c r="A84">
        <v>3303</v>
      </c>
      <c r="B84" t="s">
        <v>105</v>
      </c>
      <c r="C84" t="s">
        <v>25</v>
      </c>
      <c r="D84" s="21">
        <v>45420</v>
      </c>
      <c r="E84" t="s">
        <v>26</v>
      </c>
      <c r="F84">
        <v>15</v>
      </c>
      <c r="G84" t="s">
        <v>35</v>
      </c>
      <c r="H84" t="s">
        <v>26</v>
      </c>
      <c r="I84">
        <v>30</v>
      </c>
      <c r="J84" t="s">
        <v>26</v>
      </c>
      <c r="K84">
        <v>20</v>
      </c>
      <c r="L84">
        <v>20</v>
      </c>
      <c r="M84">
        <v>45</v>
      </c>
    </row>
    <row r="85" spans="1:13">
      <c r="A85">
        <v>3337</v>
      </c>
      <c r="B85" t="s">
        <v>139</v>
      </c>
      <c r="C85" t="s">
        <v>25</v>
      </c>
      <c r="D85" s="21">
        <v>45454</v>
      </c>
      <c r="E85" t="s">
        <v>30</v>
      </c>
      <c r="F85">
        <v>15</v>
      </c>
      <c r="G85" t="s">
        <v>35</v>
      </c>
      <c r="H85" t="s">
        <v>26</v>
      </c>
      <c r="I85">
        <v>30</v>
      </c>
      <c r="J85" t="s">
        <v>26</v>
      </c>
      <c r="K85">
        <v>20</v>
      </c>
      <c r="L85">
        <v>7</v>
      </c>
      <c r="M85">
        <v>58</v>
      </c>
    </row>
    <row r="86" spans="1:13">
      <c r="A86">
        <v>3333</v>
      </c>
      <c r="B86" t="s">
        <v>135</v>
      </c>
      <c r="C86" t="s">
        <v>25</v>
      </c>
      <c r="D86" s="21">
        <v>45450</v>
      </c>
      <c r="E86" t="s">
        <v>26</v>
      </c>
      <c r="F86">
        <v>15</v>
      </c>
      <c r="G86" t="s">
        <v>35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>
      <c r="A87">
        <v>3312</v>
      </c>
      <c r="B87" t="s">
        <v>114</v>
      </c>
      <c r="C87" t="s">
        <v>25</v>
      </c>
      <c r="D87" s="21">
        <v>45429</v>
      </c>
      <c r="E87" t="s">
        <v>30</v>
      </c>
      <c r="F87">
        <v>15</v>
      </c>
      <c r="G87" t="s">
        <v>35</v>
      </c>
      <c r="H87" t="s">
        <v>26</v>
      </c>
      <c r="I87">
        <v>30</v>
      </c>
      <c r="J87" t="s">
        <v>26</v>
      </c>
      <c r="K87">
        <v>20</v>
      </c>
      <c r="L87">
        <v>7</v>
      </c>
      <c r="M87">
        <v>58</v>
      </c>
    </row>
    <row r="88" spans="1:13">
      <c r="A88">
        <v>3324</v>
      </c>
      <c r="B88" t="s">
        <v>126</v>
      </c>
      <c r="C88" t="s">
        <v>25</v>
      </c>
      <c r="D88" s="21">
        <v>45441</v>
      </c>
      <c r="E88" t="s">
        <v>30</v>
      </c>
      <c r="F88">
        <v>15</v>
      </c>
      <c r="G88" t="s">
        <v>35</v>
      </c>
      <c r="H88" t="s">
        <v>26</v>
      </c>
      <c r="I88">
        <v>30</v>
      </c>
      <c r="J88" t="s">
        <v>26</v>
      </c>
      <c r="K88">
        <v>20</v>
      </c>
      <c r="L88">
        <v>20</v>
      </c>
      <c r="M88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EBF24-EC48-41DC-9724-2AE054B0EB64}">
  <dimension ref="A1:M88"/>
  <sheetViews>
    <sheetView workbookViewId="0"/>
  </sheetViews>
  <sheetFormatPr defaultRowHeight="15"/>
  <cols>
    <col min="1" max="1" width="15.140625" bestFit="1" customWidth="1"/>
    <col min="2" max="2" width="18.140625" bestFit="1" customWidth="1"/>
    <col min="4" max="4" width="12" bestFit="1" customWidth="1"/>
    <col min="5" max="5" width="15.28515625" bestFit="1" customWidth="1"/>
    <col min="6" max="6" width="19.42578125" bestFit="1" customWidth="1"/>
    <col min="7" max="7" width="19" bestFit="1" customWidth="1"/>
    <col min="8" max="8" width="21.140625" bestFit="1" customWidth="1"/>
    <col min="9" max="9" width="25.5703125" bestFit="1" customWidth="1"/>
    <col min="10" max="10" width="23.140625" bestFit="1" customWidth="1"/>
    <col min="11" max="11" width="28.140625" bestFit="1" customWidth="1"/>
    <col min="12" max="12" width="15.5703125" bestFit="1" customWidth="1"/>
    <col min="13" max="13" width="13" bestFit="1" customWidth="1"/>
  </cols>
  <sheetData>
    <row r="1" spans="1:13">
      <c r="A1" s="22" t="s">
        <v>313</v>
      </c>
    </row>
    <row r="3" spans="1:1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</row>
    <row r="4" spans="1:13">
      <c r="A4">
        <v>3522</v>
      </c>
      <c r="B4" t="s">
        <v>309</v>
      </c>
      <c r="C4" t="s">
        <v>29</v>
      </c>
      <c r="D4" s="21">
        <v>45639</v>
      </c>
      <c r="E4" t="s">
        <v>26</v>
      </c>
      <c r="F4">
        <v>5</v>
      </c>
      <c r="G4" t="s">
        <v>35</v>
      </c>
      <c r="H4" t="s">
        <v>30</v>
      </c>
      <c r="I4" t="s">
        <v>32</v>
      </c>
      <c r="J4" t="s">
        <v>30</v>
      </c>
      <c r="K4">
        <v>0</v>
      </c>
      <c r="L4">
        <v>0</v>
      </c>
      <c r="M4">
        <v>5</v>
      </c>
    </row>
    <row r="5" spans="1:13">
      <c r="A5">
        <v>3510</v>
      </c>
      <c r="B5" t="s">
        <v>300</v>
      </c>
      <c r="C5" t="s">
        <v>29</v>
      </c>
      <c r="D5" s="21">
        <v>45627</v>
      </c>
      <c r="E5" t="s">
        <v>26</v>
      </c>
      <c r="F5">
        <v>5</v>
      </c>
      <c r="G5" t="s">
        <v>35</v>
      </c>
      <c r="H5" t="s">
        <v>30</v>
      </c>
      <c r="I5" t="s">
        <v>32</v>
      </c>
      <c r="J5" t="s">
        <v>30</v>
      </c>
      <c r="K5">
        <v>0</v>
      </c>
      <c r="L5">
        <v>0</v>
      </c>
      <c r="M5">
        <v>5</v>
      </c>
    </row>
    <row r="6" spans="1:13">
      <c r="A6">
        <v>3498</v>
      </c>
      <c r="B6" t="s">
        <v>289</v>
      </c>
      <c r="C6" t="s">
        <v>29</v>
      </c>
      <c r="D6" s="21">
        <v>45615</v>
      </c>
      <c r="E6" t="s">
        <v>26</v>
      </c>
      <c r="F6">
        <v>5</v>
      </c>
      <c r="G6" t="s">
        <v>35</v>
      </c>
      <c r="H6" t="s">
        <v>30</v>
      </c>
      <c r="I6" t="s">
        <v>32</v>
      </c>
      <c r="J6" t="s">
        <v>30</v>
      </c>
      <c r="K6">
        <v>0</v>
      </c>
      <c r="L6">
        <v>0</v>
      </c>
      <c r="M6">
        <v>5</v>
      </c>
    </row>
    <row r="7" spans="1:13">
      <c r="A7">
        <v>3489</v>
      </c>
      <c r="B7" t="s">
        <v>280</v>
      </c>
      <c r="C7" t="s">
        <v>29</v>
      </c>
      <c r="D7" s="21">
        <v>45606</v>
      </c>
      <c r="E7" t="s">
        <v>30</v>
      </c>
      <c r="F7">
        <v>5</v>
      </c>
      <c r="G7" t="s">
        <v>35</v>
      </c>
      <c r="H7" t="s">
        <v>30</v>
      </c>
      <c r="I7" t="s">
        <v>32</v>
      </c>
      <c r="J7" t="s">
        <v>30</v>
      </c>
      <c r="K7">
        <v>0</v>
      </c>
      <c r="L7">
        <v>1</v>
      </c>
      <c r="M7">
        <v>4</v>
      </c>
    </row>
    <row r="8" spans="1:13">
      <c r="A8">
        <v>3244</v>
      </c>
      <c r="B8" t="s">
        <v>46</v>
      </c>
      <c r="C8" t="s">
        <v>29</v>
      </c>
      <c r="D8" s="21">
        <v>45361</v>
      </c>
      <c r="E8" t="s">
        <v>26</v>
      </c>
      <c r="F8">
        <v>5</v>
      </c>
      <c r="G8" t="s">
        <v>35</v>
      </c>
      <c r="H8" t="s">
        <v>30</v>
      </c>
      <c r="I8" t="s">
        <v>32</v>
      </c>
      <c r="J8" t="s">
        <v>30</v>
      </c>
      <c r="K8">
        <v>0</v>
      </c>
      <c r="L8">
        <v>0</v>
      </c>
      <c r="M8">
        <v>5</v>
      </c>
    </row>
    <row r="9" spans="1:13">
      <c r="A9">
        <v>3484</v>
      </c>
      <c r="B9" t="s">
        <v>275</v>
      </c>
      <c r="C9" t="s">
        <v>29</v>
      </c>
      <c r="D9" s="21">
        <v>45601</v>
      </c>
      <c r="E9" t="s">
        <v>26</v>
      </c>
      <c r="F9">
        <v>5</v>
      </c>
      <c r="G9" t="s">
        <v>35</v>
      </c>
      <c r="H9" t="s">
        <v>30</v>
      </c>
      <c r="I9" t="s">
        <v>32</v>
      </c>
      <c r="J9" t="s">
        <v>30</v>
      </c>
      <c r="K9">
        <v>0</v>
      </c>
      <c r="L9">
        <v>0</v>
      </c>
      <c r="M9">
        <v>5</v>
      </c>
    </row>
    <row r="10" spans="1:13">
      <c r="A10">
        <v>3472</v>
      </c>
      <c r="B10" t="s">
        <v>264</v>
      </c>
      <c r="C10" t="s">
        <v>29</v>
      </c>
      <c r="D10" s="21">
        <v>45589</v>
      </c>
      <c r="E10" t="s">
        <v>26</v>
      </c>
      <c r="F10">
        <v>5</v>
      </c>
      <c r="G10" t="s">
        <v>35</v>
      </c>
      <c r="H10" t="s">
        <v>30</v>
      </c>
      <c r="I10" t="s">
        <v>32</v>
      </c>
      <c r="J10" t="s">
        <v>30</v>
      </c>
      <c r="K10">
        <v>0</v>
      </c>
      <c r="L10">
        <v>0</v>
      </c>
      <c r="M10">
        <v>5</v>
      </c>
    </row>
    <row r="11" spans="1:13">
      <c r="A11">
        <v>3460</v>
      </c>
      <c r="B11" t="s">
        <v>160</v>
      </c>
      <c r="C11" t="s">
        <v>29</v>
      </c>
      <c r="D11" s="21">
        <v>45577</v>
      </c>
      <c r="E11" t="s">
        <v>26</v>
      </c>
      <c r="F11">
        <v>5</v>
      </c>
      <c r="G11" t="s">
        <v>35</v>
      </c>
      <c r="H11" t="s">
        <v>30</v>
      </c>
      <c r="I11" t="s">
        <v>32</v>
      </c>
      <c r="J11" t="s">
        <v>30</v>
      </c>
      <c r="K11">
        <v>0</v>
      </c>
      <c r="L11">
        <v>0</v>
      </c>
      <c r="M11">
        <v>5</v>
      </c>
    </row>
    <row r="12" spans="1:13">
      <c r="A12">
        <v>3256</v>
      </c>
      <c r="B12" t="s">
        <v>58</v>
      </c>
      <c r="C12" t="s">
        <v>29</v>
      </c>
      <c r="D12" s="21">
        <v>45373</v>
      </c>
      <c r="E12" t="s">
        <v>26</v>
      </c>
      <c r="F12">
        <v>5</v>
      </c>
      <c r="G12" t="s">
        <v>35</v>
      </c>
      <c r="H12" t="s">
        <v>30</v>
      </c>
      <c r="I12" t="s">
        <v>32</v>
      </c>
      <c r="J12" t="s">
        <v>30</v>
      </c>
      <c r="K12">
        <v>0</v>
      </c>
      <c r="L12">
        <v>0</v>
      </c>
      <c r="M12">
        <v>5</v>
      </c>
    </row>
    <row r="13" spans="1:13">
      <c r="A13">
        <v>3448</v>
      </c>
      <c r="B13" t="s">
        <v>243</v>
      </c>
      <c r="C13" t="s">
        <v>29</v>
      </c>
      <c r="D13" s="21">
        <v>45565</v>
      </c>
      <c r="E13" t="s">
        <v>26</v>
      </c>
      <c r="F13">
        <v>5</v>
      </c>
      <c r="G13" t="s">
        <v>35</v>
      </c>
      <c r="H13" t="s">
        <v>30</v>
      </c>
      <c r="I13" t="s">
        <v>32</v>
      </c>
      <c r="J13" t="s">
        <v>30</v>
      </c>
      <c r="K13">
        <v>0</v>
      </c>
      <c r="L13">
        <v>0</v>
      </c>
      <c r="M13">
        <v>5</v>
      </c>
    </row>
    <row r="14" spans="1:13">
      <c r="A14">
        <v>3439</v>
      </c>
      <c r="B14" t="s">
        <v>235</v>
      </c>
      <c r="C14" t="s">
        <v>29</v>
      </c>
      <c r="D14" s="21">
        <v>45556</v>
      </c>
      <c r="E14" t="s">
        <v>30</v>
      </c>
      <c r="F14">
        <v>5</v>
      </c>
      <c r="G14" t="s">
        <v>35</v>
      </c>
      <c r="H14" t="s">
        <v>30</v>
      </c>
      <c r="I14" t="s">
        <v>32</v>
      </c>
      <c r="J14" t="s">
        <v>30</v>
      </c>
      <c r="K14">
        <v>0</v>
      </c>
      <c r="L14">
        <v>1</v>
      </c>
      <c r="M14">
        <v>4</v>
      </c>
    </row>
    <row r="15" spans="1:13">
      <c r="A15">
        <v>3430</v>
      </c>
      <c r="B15" t="s">
        <v>226</v>
      </c>
      <c r="C15" t="s">
        <v>29</v>
      </c>
      <c r="D15" s="21">
        <v>45547</v>
      </c>
      <c r="E15" t="s">
        <v>26</v>
      </c>
      <c r="F15">
        <v>5</v>
      </c>
      <c r="G15" t="s">
        <v>35</v>
      </c>
      <c r="H15" t="s">
        <v>30</v>
      </c>
      <c r="I15" t="s">
        <v>32</v>
      </c>
      <c r="J15" t="s">
        <v>30</v>
      </c>
      <c r="K15">
        <v>0</v>
      </c>
      <c r="L15">
        <v>0</v>
      </c>
      <c r="M15">
        <v>5</v>
      </c>
    </row>
    <row r="16" spans="1:13">
      <c r="A16">
        <v>3269</v>
      </c>
      <c r="B16" t="s">
        <v>71</v>
      </c>
      <c r="C16" t="s">
        <v>29</v>
      </c>
      <c r="D16" s="21">
        <v>45386</v>
      </c>
      <c r="E16" t="s">
        <v>30</v>
      </c>
      <c r="F16">
        <v>5</v>
      </c>
      <c r="G16" t="s">
        <v>35</v>
      </c>
      <c r="H16" t="s">
        <v>30</v>
      </c>
      <c r="I16" t="s">
        <v>32</v>
      </c>
      <c r="J16" t="s">
        <v>30</v>
      </c>
      <c r="K16">
        <v>0</v>
      </c>
      <c r="L16">
        <v>1</v>
      </c>
      <c r="M16">
        <v>4</v>
      </c>
    </row>
    <row r="17" spans="1:13">
      <c r="A17">
        <v>3418</v>
      </c>
      <c r="B17" t="s">
        <v>217</v>
      </c>
      <c r="C17" t="s">
        <v>29</v>
      </c>
      <c r="D17" s="21">
        <v>45535</v>
      </c>
      <c r="E17" t="s">
        <v>26</v>
      </c>
      <c r="F17">
        <v>5</v>
      </c>
      <c r="G17" t="s">
        <v>35</v>
      </c>
      <c r="H17" t="s">
        <v>30</v>
      </c>
      <c r="I17" t="s">
        <v>32</v>
      </c>
      <c r="J17" t="s">
        <v>30</v>
      </c>
      <c r="K17">
        <v>0</v>
      </c>
      <c r="L17">
        <v>0</v>
      </c>
      <c r="M17">
        <v>5</v>
      </c>
    </row>
    <row r="18" spans="1:13">
      <c r="A18">
        <v>3409</v>
      </c>
      <c r="B18" t="s">
        <v>208</v>
      </c>
      <c r="C18" t="s">
        <v>29</v>
      </c>
      <c r="D18" s="21">
        <v>45526</v>
      </c>
      <c r="E18" t="s">
        <v>30</v>
      </c>
      <c r="F18">
        <v>5</v>
      </c>
      <c r="G18" t="s">
        <v>35</v>
      </c>
      <c r="H18" t="s">
        <v>30</v>
      </c>
      <c r="I18" t="s">
        <v>32</v>
      </c>
      <c r="J18" t="s">
        <v>30</v>
      </c>
      <c r="K18">
        <v>0</v>
      </c>
      <c r="L18">
        <v>1</v>
      </c>
      <c r="M18">
        <v>4</v>
      </c>
    </row>
    <row r="19" spans="1:13">
      <c r="A19">
        <v>3278</v>
      </c>
      <c r="B19" t="s">
        <v>80</v>
      </c>
      <c r="C19" t="s">
        <v>29</v>
      </c>
      <c r="D19" s="21">
        <v>45395</v>
      </c>
      <c r="E19" t="s">
        <v>26</v>
      </c>
      <c r="F19">
        <v>5</v>
      </c>
      <c r="G19" t="s">
        <v>35</v>
      </c>
      <c r="H19" t="s">
        <v>30</v>
      </c>
      <c r="I19" t="s">
        <v>32</v>
      </c>
      <c r="J19" t="s">
        <v>30</v>
      </c>
      <c r="K19">
        <v>0</v>
      </c>
      <c r="L19">
        <v>0</v>
      </c>
      <c r="M19">
        <v>5</v>
      </c>
    </row>
    <row r="20" spans="1:13">
      <c r="A20">
        <v>3402</v>
      </c>
      <c r="B20" t="s">
        <v>201</v>
      </c>
      <c r="C20" t="s">
        <v>29</v>
      </c>
      <c r="D20" s="21">
        <v>45519</v>
      </c>
      <c r="E20" t="s">
        <v>26</v>
      </c>
      <c r="F20">
        <v>5</v>
      </c>
      <c r="G20" t="s">
        <v>35</v>
      </c>
      <c r="H20" t="s">
        <v>30</v>
      </c>
      <c r="I20" t="s">
        <v>32</v>
      </c>
      <c r="J20" t="s">
        <v>30</v>
      </c>
      <c r="K20">
        <v>0</v>
      </c>
      <c r="L20">
        <v>0</v>
      </c>
      <c r="M20">
        <v>5</v>
      </c>
    </row>
    <row r="21" spans="1:13">
      <c r="A21">
        <v>3390</v>
      </c>
      <c r="B21" t="s">
        <v>191</v>
      </c>
      <c r="C21" t="s">
        <v>29</v>
      </c>
      <c r="D21" s="21">
        <v>45507</v>
      </c>
      <c r="E21" t="s">
        <v>26</v>
      </c>
      <c r="F21">
        <v>5</v>
      </c>
      <c r="G21" t="s">
        <v>35</v>
      </c>
      <c r="H21" t="s">
        <v>30</v>
      </c>
      <c r="I21" t="s">
        <v>32</v>
      </c>
      <c r="J21" t="s">
        <v>30</v>
      </c>
      <c r="K21">
        <v>0</v>
      </c>
      <c r="L21">
        <v>0</v>
      </c>
      <c r="M21">
        <v>5</v>
      </c>
    </row>
    <row r="22" spans="1:13">
      <c r="A22">
        <v>3378</v>
      </c>
      <c r="B22" t="s">
        <v>179</v>
      </c>
      <c r="C22" t="s">
        <v>29</v>
      </c>
      <c r="D22" s="21">
        <v>45495</v>
      </c>
      <c r="E22" t="s">
        <v>26</v>
      </c>
      <c r="F22">
        <v>5</v>
      </c>
      <c r="G22" t="s">
        <v>35</v>
      </c>
      <c r="H22" t="s">
        <v>30</v>
      </c>
      <c r="I22" t="s">
        <v>32</v>
      </c>
      <c r="J22" t="s">
        <v>30</v>
      </c>
      <c r="K22">
        <v>0</v>
      </c>
      <c r="L22">
        <v>0</v>
      </c>
      <c r="M22">
        <v>5</v>
      </c>
    </row>
    <row r="23" spans="1:13">
      <c r="A23">
        <v>3290</v>
      </c>
      <c r="B23" t="s">
        <v>92</v>
      </c>
      <c r="C23" t="s">
        <v>29</v>
      </c>
      <c r="D23" s="21">
        <v>45407</v>
      </c>
      <c r="E23" t="s">
        <v>26</v>
      </c>
      <c r="F23">
        <v>5</v>
      </c>
      <c r="G23" t="s">
        <v>35</v>
      </c>
      <c r="H23" t="s">
        <v>30</v>
      </c>
      <c r="I23" t="s">
        <v>32</v>
      </c>
      <c r="J23" t="s">
        <v>30</v>
      </c>
      <c r="K23">
        <v>0</v>
      </c>
      <c r="L23">
        <v>0</v>
      </c>
      <c r="M23">
        <v>5</v>
      </c>
    </row>
    <row r="24" spans="1:13">
      <c r="A24">
        <v>3369</v>
      </c>
      <c r="B24" t="s">
        <v>170</v>
      </c>
      <c r="C24" t="s">
        <v>29</v>
      </c>
      <c r="D24" s="21">
        <v>45486</v>
      </c>
      <c r="E24" t="s">
        <v>30</v>
      </c>
      <c r="F24">
        <v>5</v>
      </c>
      <c r="G24" t="s">
        <v>35</v>
      </c>
      <c r="H24" t="s">
        <v>30</v>
      </c>
      <c r="I24" t="s">
        <v>32</v>
      </c>
      <c r="J24" t="s">
        <v>30</v>
      </c>
      <c r="K24">
        <v>0</v>
      </c>
      <c r="L24">
        <v>1</v>
      </c>
      <c r="M24">
        <v>4</v>
      </c>
    </row>
    <row r="25" spans="1:13">
      <c r="A25">
        <v>3360</v>
      </c>
      <c r="B25" t="s">
        <v>161</v>
      </c>
      <c r="C25" t="s">
        <v>29</v>
      </c>
      <c r="D25" s="21">
        <v>45477</v>
      </c>
      <c r="E25" t="s">
        <v>26</v>
      </c>
      <c r="F25">
        <v>5</v>
      </c>
      <c r="G25" t="s">
        <v>35</v>
      </c>
      <c r="H25" t="s">
        <v>30</v>
      </c>
      <c r="I25" t="s">
        <v>32</v>
      </c>
      <c r="J25" t="s">
        <v>30</v>
      </c>
      <c r="K25">
        <v>0</v>
      </c>
      <c r="L25">
        <v>0</v>
      </c>
      <c r="M25">
        <v>5</v>
      </c>
    </row>
    <row r="26" spans="1:13">
      <c r="A26">
        <v>3299</v>
      </c>
      <c r="B26" t="s">
        <v>101</v>
      </c>
      <c r="C26" t="s">
        <v>29</v>
      </c>
      <c r="D26" s="21">
        <v>45416</v>
      </c>
      <c r="E26" t="s">
        <v>26</v>
      </c>
      <c r="F26">
        <v>5</v>
      </c>
      <c r="G26" t="s">
        <v>35</v>
      </c>
      <c r="H26" t="s">
        <v>30</v>
      </c>
      <c r="I26" t="s">
        <v>32</v>
      </c>
      <c r="J26" t="s">
        <v>30</v>
      </c>
      <c r="K26">
        <v>0</v>
      </c>
      <c r="L26">
        <v>1</v>
      </c>
      <c r="M26">
        <v>4</v>
      </c>
    </row>
    <row r="27" spans="1:13">
      <c r="A27">
        <v>3348</v>
      </c>
      <c r="B27" t="s">
        <v>150</v>
      </c>
      <c r="C27" t="s">
        <v>29</v>
      </c>
      <c r="D27" s="21">
        <v>45465</v>
      </c>
      <c r="E27" t="s">
        <v>26</v>
      </c>
      <c r="F27">
        <v>5</v>
      </c>
      <c r="G27" t="s">
        <v>35</v>
      </c>
      <c r="H27" t="s">
        <v>30</v>
      </c>
      <c r="I27" t="s">
        <v>32</v>
      </c>
      <c r="J27" t="s">
        <v>30</v>
      </c>
      <c r="K27">
        <v>0</v>
      </c>
      <c r="L27">
        <v>0</v>
      </c>
      <c r="M27">
        <v>5</v>
      </c>
    </row>
    <row r="28" spans="1:13">
      <c r="A28">
        <v>3339</v>
      </c>
      <c r="B28" t="s">
        <v>141</v>
      </c>
      <c r="C28" t="s">
        <v>29</v>
      </c>
      <c r="D28" s="21">
        <v>45456</v>
      </c>
      <c r="E28" t="s">
        <v>30</v>
      </c>
      <c r="F28">
        <v>5</v>
      </c>
      <c r="G28" t="s">
        <v>35</v>
      </c>
      <c r="H28" t="s">
        <v>30</v>
      </c>
      <c r="I28" t="s">
        <v>32</v>
      </c>
      <c r="J28" t="s">
        <v>30</v>
      </c>
      <c r="K28">
        <v>0</v>
      </c>
      <c r="L28">
        <v>1</v>
      </c>
      <c r="M28">
        <v>4</v>
      </c>
    </row>
    <row r="29" spans="1:13">
      <c r="A29">
        <v>3308</v>
      </c>
      <c r="B29" t="s">
        <v>110</v>
      </c>
      <c r="C29" t="s">
        <v>29</v>
      </c>
      <c r="D29" s="21">
        <v>45425</v>
      </c>
      <c r="E29" t="s">
        <v>30</v>
      </c>
      <c r="F29">
        <v>5</v>
      </c>
      <c r="G29" t="s">
        <v>35</v>
      </c>
      <c r="H29" t="s">
        <v>30</v>
      </c>
      <c r="I29" t="s">
        <v>32</v>
      </c>
      <c r="J29" t="s">
        <v>30</v>
      </c>
      <c r="K29">
        <v>0</v>
      </c>
      <c r="L29">
        <v>0</v>
      </c>
      <c r="M29">
        <v>5</v>
      </c>
    </row>
    <row r="30" spans="1:13">
      <c r="A30">
        <v>3329</v>
      </c>
      <c r="B30" t="s">
        <v>131</v>
      </c>
      <c r="C30" t="s">
        <v>29</v>
      </c>
      <c r="D30" s="21">
        <v>45446</v>
      </c>
      <c r="E30" t="s">
        <v>26</v>
      </c>
      <c r="F30">
        <v>5</v>
      </c>
      <c r="G30" t="s">
        <v>35</v>
      </c>
      <c r="H30" t="s">
        <v>30</v>
      </c>
      <c r="I30" t="s">
        <v>32</v>
      </c>
      <c r="J30" t="s">
        <v>30</v>
      </c>
      <c r="K30">
        <v>0</v>
      </c>
      <c r="L30">
        <v>1</v>
      </c>
      <c r="M30">
        <v>4</v>
      </c>
    </row>
    <row r="31" spans="1:13">
      <c r="A31">
        <v>3320</v>
      </c>
      <c r="B31" t="s">
        <v>122</v>
      </c>
      <c r="C31" t="s">
        <v>29</v>
      </c>
      <c r="D31" s="21">
        <v>45437</v>
      </c>
      <c r="E31" t="s">
        <v>30</v>
      </c>
      <c r="F31">
        <v>5</v>
      </c>
      <c r="G31" t="s">
        <v>35</v>
      </c>
      <c r="H31" t="s">
        <v>30</v>
      </c>
      <c r="I31" t="s">
        <v>32</v>
      </c>
      <c r="J31" t="s">
        <v>30</v>
      </c>
      <c r="K31">
        <v>0</v>
      </c>
      <c r="L31">
        <v>0</v>
      </c>
      <c r="M31">
        <v>5</v>
      </c>
    </row>
    <row r="32" spans="1:13">
      <c r="A32">
        <v>3518</v>
      </c>
      <c r="B32" t="s">
        <v>305</v>
      </c>
      <c r="C32" t="s">
        <v>34</v>
      </c>
      <c r="D32" s="21">
        <v>45635</v>
      </c>
      <c r="E32" t="s">
        <v>26</v>
      </c>
      <c r="F32">
        <v>10</v>
      </c>
      <c r="G32" t="s">
        <v>35</v>
      </c>
      <c r="H32" t="s">
        <v>30</v>
      </c>
      <c r="I32" t="s">
        <v>32</v>
      </c>
      <c r="J32" t="s">
        <v>26</v>
      </c>
      <c r="K32">
        <v>20</v>
      </c>
      <c r="L32">
        <v>12</v>
      </c>
      <c r="M32">
        <v>18</v>
      </c>
    </row>
    <row r="33" spans="1:13">
      <c r="A33">
        <v>3233</v>
      </c>
      <c r="B33" t="s">
        <v>33</v>
      </c>
      <c r="C33" t="s">
        <v>34</v>
      </c>
      <c r="D33" s="21">
        <v>45332</v>
      </c>
      <c r="E33" t="s">
        <v>26</v>
      </c>
      <c r="F33">
        <v>10</v>
      </c>
      <c r="G33" t="s">
        <v>35</v>
      </c>
      <c r="H33" t="s">
        <v>30</v>
      </c>
      <c r="I33" t="s">
        <v>32</v>
      </c>
      <c r="J33" t="s">
        <v>26</v>
      </c>
      <c r="K33">
        <v>20</v>
      </c>
      <c r="L33">
        <v>10</v>
      </c>
      <c r="M33">
        <v>20</v>
      </c>
    </row>
    <row r="34" spans="1:13">
      <c r="A34">
        <v>3506</v>
      </c>
      <c r="B34" t="s">
        <v>296</v>
      </c>
      <c r="C34" t="s">
        <v>34</v>
      </c>
      <c r="D34" s="21">
        <v>45623</v>
      </c>
      <c r="E34" t="s">
        <v>26</v>
      </c>
      <c r="F34">
        <v>10</v>
      </c>
      <c r="G34" t="s">
        <v>35</v>
      </c>
      <c r="H34" t="s">
        <v>30</v>
      </c>
      <c r="I34" t="s">
        <v>32</v>
      </c>
      <c r="J34" t="s">
        <v>26</v>
      </c>
      <c r="K34">
        <v>20</v>
      </c>
      <c r="L34">
        <v>15</v>
      </c>
      <c r="M34">
        <v>15</v>
      </c>
    </row>
    <row r="35" spans="1:13">
      <c r="A35">
        <v>3240</v>
      </c>
      <c r="B35" t="s">
        <v>42</v>
      </c>
      <c r="C35" t="s">
        <v>34</v>
      </c>
      <c r="D35" s="21">
        <v>45357</v>
      </c>
      <c r="E35" t="s">
        <v>26</v>
      </c>
      <c r="F35">
        <v>10</v>
      </c>
      <c r="G35" t="s">
        <v>35</v>
      </c>
      <c r="H35" t="s">
        <v>30</v>
      </c>
      <c r="I35" t="s">
        <v>32</v>
      </c>
      <c r="J35" t="s">
        <v>26</v>
      </c>
      <c r="K35">
        <v>20</v>
      </c>
      <c r="L35">
        <v>15</v>
      </c>
      <c r="M35">
        <v>15</v>
      </c>
    </row>
    <row r="36" spans="1:13">
      <c r="A36">
        <v>3494</v>
      </c>
      <c r="B36" t="s">
        <v>285</v>
      </c>
      <c r="C36" t="s">
        <v>34</v>
      </c>
      <c r="D36" s="21">
        <v>45611</v>
      </c>
      <c r="E36" t="s">
        <v>26</v>
      </c>
      <c r="F36">
        <v>10</v>
      </c>
      <c r="G36" t="s">
        <v>35</v>
      </c>
      <c r="H36" t="s">
        <v>30</v>
      </c>
      <c r="I36" t="s">
        <v>32</v>
      </c>
      <c r="J36" t="s">
        <v>26</v>
      </c>
      <c r="K36">
        <v>20</v>
      </c>
      <c r="L36">
        <v>12</v>
      </c>
      <c r="M36">
        <v>18</v>
      </c>
    </row>
    <row r="37" spans="1:13">
      <c r="A37">
        <v>3480</v>
      </c>
      <c r="B37" t="s">
        <v>271</v>
      </c>
      <c r="C37" t="s">
        <v>34</v>
      </c>
      <c r="D37" s="21">
        <v>45597</v>
      </c>
      <c r="E37" t="s">
        <v>26</v>
      </c>
      <c r="F37">
        <v>10</v>
      </c>
      <c r="G37" t="s">
        <v>35</v>
      </c>
      <c r="H37" t="s">
        <v>30</v>
      </c>
      <c r="I37" t="s">
        <v>32</v>
      </c>
      <c r="J37" t="s">
        <v>26</v>
      </c>
      <c r="K37">
        <v>20</v>
      </c>
      <c r="L37">
        <v>15</v>
      </c>
      <c r="M37">
        <v>15</v>
      </c>
    </row>
    <row r="38" spans="1:13">
      <c r="A38">
        <v>3468</v>
      </c>
      <c r="B38" t="s">
        <v>260</v>
      </c>
      <c r="C38" t="s">
        <v>34</v>
      </c>
      <c r="D38" s="21">
        <v>45585</v>
      </c>
      <c r="E38" t="s">
        <v>26</v>
      </c>
      <c r="F38">
        <v>10</v>
      </c>
      <c r="G38" t="s">
        <v>35</v>
      </c>
      <c r="H38" t="s">
        <v>30</v>
      </c>
      <c r="I38" t="s">
        <v>32</v>
      </c>
      <c r="J38" t="s">
        <v>26</v>
      </c>
      <c r="K38">
        <v>20</v>
      </c>
      <c r="L38">
        <v>12</v>
      </c>
      <c r="M38">
        <v>18</v>
      </c>
    </row>
    <row r="39" spans="1:13">
      <c r="A39">
        <v>3252</v>
      </c>
      <c r="B39" t="s">
        <v>54</v>
      </c>
      <c r="C39" t="s">
        <v>34</v>
      </c>
      <c r="D39" s="21">
        <v>45369</v>
      </c>
      <c r="E39" t="s">
        <v>26</v>
      </c>
      <c r="F39">
        <v>10</v>
      </c>
      <c r="G39" t="s">
        <v>35</v>
      </c>
      <c r="H39" t="s">
        <v>30</v>
      </c>
      <c r="I39" t="s">
        <v>32</v>
      </c>
      <c r="J39" t="s">
        <v>26</v>
      </c>
      <c r="K39">
        <v>20</v>
      </c>
      <c r="L39">
        <v>15</v>
      </c>
      <c r="M39">
        <v>15</v>
      </c>
    </row>
    <row r="40" spans="1:13">
      <c r="A40">
        <v>3456</v>
      </c>
      <c r="B40" t="s">
        <v>249</v>
      </c>
      <c r="C40" t="s">
        <v>34</v>
      </c>
      <c r="D40" s="21">
        <v>45573</v>
      </c>
      <c r="E40" t="s">
        <v>26</v>
      </c>
      <c r="F40">
        <v>10</v>
      </c>
      <c r="G40" t="s">
        <v>35</v>
      </c>
      <c r="H40" t="s">
        <v>30</v>
      </c>
      <c r="I40" t="s">
        <v>32</v>
      </c>
      <c r="J40" t="s">
        <v>26</v>
      </c>
      <c r="K40">
        <v>20</v>
      </c>
      <c r="L40">
        <v>15</v>
      </c>
      <c r="M40">
        <v>15</v>
      </c>
    </row>
    <row r="41" spans="1:13">
      <c r="A41">
        <v>3444</v>
      </c>
      <c r="B41" t="s">
        <v>240</v>
      </c>
      <c r="C41" t="s">
        <v>34</v>
      </c>
      <c r="D41" s="21">
        <v>45561</v>
      </c>
      <c r="E41" t="s">
        <v>26</v>
      </c>
      <c r="F41">
        <v>10</v>
      </c>
      <c r="G41" t="s">
        <v>35</v>
      </c>
      <c r="H41" t="s">
        <v>30</v>
      </c>
      <c r="I41" t="s">
        <v>32</v>
      </c>
      <c r="J41" t="s">
        <v>26</v>
      </c>
      <c r="K41">
        <v>20</v>
      </c>
      <c r="L41">
        <v>12</v>
      </c>
      <c r="M41">
        <v>18</v>
      </c>
    </row>
    <row r="42" spans="1:13">
      <c r="A42">
        <v>3264</v>
      </c>
      <c r="B42" t="s">
        <v>66</v>
      </c>
      <c r="C42" t="s">
        <v>34</v>
      </c>
      <c r="D42" s="21">
        <v>45381</v>
      </c>
      <c r="E42" t="s">
        <v>26</v>
      </c>
      <c r="F42">
        <v>10</v>
      </c>
      <c r="G42" t="s">
        <v>35</v>
      </c>
      <c r="H42" t="s">
        <v>30</v>
      </c>
      <c r="I42" t="s">
        <v>32</v>
      </c>
      <c r="J42" t="s">
        <v>26</v>
      </c>
      <c r="K42">
        <v>20</v>
      </c>
      <c r="L42">
        <v>15</v>
      </c>
      <c r="M42">
        <v>15</v>
      </c>
    </row>
    <row r="43" spans="1:13">
      <c r="A43">
        <v>3426</v>
      </c>
      <c r="B43" t="s">
        <v>200</v>
      </c>
      <c r="C43" t="s">
        <v>34</v>
      </c>
      <c r="D43" s="21">
        <v>45543</v>
      </c>
      <c r="E43" t="s">
        <v>26</v>
      </c>
      <c r="F43">
        <v>10</v>
      </c>
      <c r="G43" t="s">
        <v>35</v>
      </c>
      <c r="H43" t="s">
        <v>30</v>
      </c>
      <c r="I43" t="s">
        <v>32</v>
      </c>
      <c r="J43" t="s">
        <v>26</v>
      </c>
      <c r="K43">
        <v>20</v>
      </c>
      <c r="L43">
        <v>15</v>
      </c>
      <c r="M43">
        <v>15</v>
      </c>
    </row>
    <row r="44" spans="1:13">
      <c r="A44">
        <v>3414</v>
      </c>
      <c r="B44" t="s">
        <v>213</v>
      </c>
      <c r="C44" t="s">
        <v>34</v>
      </c>
      <c r="D44" s="21">
        <v>45531</v>
      </c>
      <c r="E44" t="s">
        <v>26</v>
      </c>
      <c r="F44">
        <v>10</v>
      </c>
      <c r="G44" t="s">
        <v>35</v>
      </c>
      <c r="H44" t="s">
        <v>30</v>
      </c>
      <c r="I44" t="s">
        <v>32</v>
      </c>
      <c r="J44" t="s">
        <v>26</v>
      </c>
      <c r="K44">
        <v>20</v>
      </c>
      <c r="L44">
        <v>12</v>
      </c>
      <c r="M44">
        <v>18</v>
      </c>
    </row>
    <row r="45" spans="1:13">
      <c r="A45">
        <v>3274</v>
      </c>
      <c r="B45" t="s">
        <v>76</v>
      </c>
      <c r="C45" t="s">
        <v>34</v>
      </c>
      <c r="D45" s="21">
        <v>45391</v>
      </c>
      <c r="E45" t="s">
        <v>26</v>
      </c>
      <c r="F45">
        <v>10</v>
      </c>
      <c r="G45" t="s">
        <v>35</v>
      </c>
      <c r="H45" t="s">
        <v>30</v>
      </c>
      <c r="I45" t="s">
        <v>32</v>
      </c>
      <c r="J45" t="s">
        <v>26</v>
      </c>
      <c r="K45">
        <v>20</v>
      </c>
      <c r="L45">
        <v>12</v>
      </c>
      <c r="M45">
        <v>18</v>
      </c>
    </row>
    <row r="46" spans="1:13">
      <c r="A46">
        <v>3398</v>
      </c>
      <c r="B46" t="s">
        <v>197</v>
      </c>
      <c r="C46" t="s">
        <v>34</v>
      </c>
      <c r="D46" s="21">
        <v>45515</v>
      </c>
      <c r="E46" t="s">
        <v>26</v>
      </c>
      <c r="F46">
        <v>10</v>
      </c>
      <c r="G46" t="s">
        <v>35</v>
      </c>
      <c r="H46" t="s">
        <v>30</v>
      </c>
      <c r="I46" t="s">
        <v>32</v>
      </c>
      <c r="J46" t="s">
        <v>26</v>
      </c>
      <c r="K46">
        <v>20</v>
      </c>
      <c r="L46">
        <v>15</v>
      </c>
      <c r="M46">
        <v>15</v>
      </c>
    </row>
    <row r="47" spans="1:13">
      <c r="A47">
        <v>3386</v>
      </c>
      <c r="B47" t="s">
        <v>187</v>
      </c>
      <c r="C47" t="s">
        <v>34</v>
      </c>
      <c r="D47" s="21">
        <v>45503</v>
      </c>
      <c r="E47" t="s">
        <v>26</v>
      </c>
      <c r="F47">
        <v>10</v>
      </c>
      <c r="G47" t="s">
        <v>35</v>
      </c>
      <c r="H47" t="s">
        <v>30</v>
      </c>
      <c r="I47" t="s">
        <v>32</v>
      </c>
      <c r="J47" t="s">
        <v>26</v>
      </c>
      <c r="K47">
        <v>20</v>
      </c>
      <c r="L47">
        <v>15</v>
      </c>
      <c r="M47">
        <v>15</v>
      </c>
    </row>
    <row r="48" spans="1:13">
      <c r="A48">
        <v>3286</v>
      </c>
      <c r="B48" t="s">
        <v>88</v>
      </c>
      <c r="C48" t="s">
        <v>34</v>
      </c>
      <c r="D48" s="21">
        <v>45403</v>
      </c>
      <c r="E48" t="s">
        <v>26</v>
      </c>
      <c r="F48">
        <v>10</v>
      </c>
      <c r="G48" t="s">
        <v>35</v>
      </c>
      <c r="H48" t="s">
        <v>30</v>
      </c>
      <c r="I48" t="s">
        <v>32</v>
      </c>
      <c r="J48" t="s">
        <v>26</v>
      </c>
      <c r="K48">
        <v>20</v>
      </c>
      <c r="L48">
        <v>15</v>
      </c>
      <c r="M48">
        <v>15</v>
      </c>
    </row>
    <row r="49" spans="1:13">
      <c r="A49">
        <v>3374</v>
      </c>
      <c r="B49" t="s">
        <v>175</v>
      </c>
      <c r="C49" t="s">
        <v>34</v>
      </c>
      <c r="D49" s="21">
        <v>45491</v>
      </c>
      <c r="E49" t="s">
        <v>26</v>
      </c>
      <c r="F49">
        <v>10</v>
      </c>
      <c r="G49" t="s">
        <v>35</v>
      </c>
      <c r="H49" t="s">
        <v>30</v>
      </c>
      <c r="I49" t="s">
        <v>32</v>
      </c>
      <c r="J49" t="s">
        <v>26</v>
      </c>
      <c r="K49">
        <v>20</v>
      </c>
      <c r="L49">
        <v>12</v>
      </c>
      <c r="M49">
        <v>18</v>
      </c>
    </row>
    <row r="50" spans="1:13">
      <c r="A50">
        <v>3356</v>
      </c>
      <c r="B50" t="s">
        <v>157</v>
      </c>
      <c r="C50" t="s">
        <v>34</v>
      </c>
      <c r="D50" s="21">
        <v>45473</v>
      </c>
      <c r="E50" t="s">
        <v>26</v>
      </c>
      <c r="F50">
        <v>10</v>
      </c>
      <c r="G50" t="s">
        <v>35</v>
      </c>
      <c r="H50" t="s">
        <v>30</v>
      </c>
      <c r="I50" t="s">
        <v>32</v>
      </c>
      <c r="J50" t="s">
        <v>26</v>
      </c>
      <c r="K50">
        <v>20</v>
      </c>
      <c r="L50">
        <v>15</v>
      </c>
      <c r="M50">
        <v>15</v>
      </c>
    </row>
    <row r="51" spans="1:13">
      <c r="A51">
        <v>3344</v>
      </c>
      <c r="B51" t="s">
        <v>146</v>
      </c>
      <c r="C51" t="s">
        <v>34</v>
      </c>
      <c r="D51" s="21">
        <v>45461</v>
      </c>
      <c r="E51" t="s">
        <v>26</v>
      </c>
      <c r="F51">
        <v>10</v>
      </c>
      <c r="G51" t="s">
        <v>35</v>
      </c>
      <c r="H51" t="s">
        <v>30</v>
      </c>
      <c r="I51" t="s">
        <v>32</v>
      </c>
      <c r="J51" t="s">
        <v>26</v>
      </c>
      <c r="K51">
        <v>20</v>
      </c>
      <c r="L51">
        <v>12</v>
      </c>
      <c r="M51">
        <v>18</v>
      </c>
    </row>
    <row r="52" spans="1:13">
      <c r="A52">
        <v>3304</v>
      </c>
      <c r="B52" t="s">
        <v>106</v>
      </c>
      <c r="C52" t="s">
        <v>34</v>
      </c>
      <c r="D52" s="21">
        <v>45421</v>
      </c>
      <c r="E52" t="s">
        <v>30</v>
      </c>
      <c r="F52">
        <v>10</v>
      </c>
      <c r="G52" t="s">
        <v>35</v>
      </c>
      <c r="H52" t="s">
        <v>30</v>
      </c>
      <c r="I52" t="s">
        <v>32</v>
      </c>
      <c r="J52" t="s">
        <v>26</v>
      </c>
      <c r="K52">
        <v>20</v>
      </c>
      <c r="L52">
        <v>12</v>
      </c>
      <c r="M52">
        <v>18</v>
      </c>
    </row>
    <row r="53" spans="1:13">
      <c r="A53">
        <v>3334</v>
      </c>
      <c r="B53" t="s">
        <v>136</v>
      </c>
      <c r="C53" t="s">
        <v>34</v>
      </c>
      <c r="D53" s="21">
        <v>45451</v>
      </c>
      <c r="E53" t="s">
        <v>30</v>
      </c>
      <c r="F53">
        <v>10</v>
      </c>
      <c r="G53" t="s">
        <v>35</v>
      </c>
      <c r="H53" t="s">
        <v>30</v>
      </c>
      <c r="I53" t="s">
        <v>32</v>
      </c>
      <c r="J53" t="s">
        <v>26</v>
      </c>
      <c r="K53">
        <v>20</v>
      </c>
      <c r="L53">
        <v>12</v>
      </c>
      <c r="M53">
        <v>18</v>
      </c>
    </row>
    <row r="54" spans="1:13">
      <c r="A54">
        <v>3325</v>
      </c>
      <c r="B54" t="s">
        <v>127</v>
      </c>
      <c r="C54" t="s">
        <v>34</v>
      </c>
      <c r="D54" s="21">
        <v>45442</v>
      </c>
      <c r="E54" t="s">
        <v>26</v>
      </c>
      <c r="F54">
        <v>10</v>
      </c>
      <c r="G54" t="s">
        <v>35</v>
      </c>
      <c r="H54" t="s">
        <v>30</v>
      </c>
      <c r="I54" t="s">
        <v>32</v>
      </c>
      <c r="J54" t="s">
        <v>26</v>
      </c>
      <c r="K54">
        <v>20</v>
      </c>
      <c r="L54">
        <v>15</v>
      </c>
      <c r="M54">
        <v>15</v>
      </c>
    </row>
    <row r="55" spans="1:13">
      <c r="A55">
        <v>3316</v>
      </c>
      <c r="B55" t="s">
        <v>118</v>
      </c>
      <c r="C55" t="s">
        <v>34</v>
      </c>
      <c r="D55" s="21">
        <v>45433</v>
      </c>
      <c r="E55" t="s">
        <v>30</v>
      </c>
      <c r="F55">
        <v>10</v>
      </c>
      <c r="G55" t="s">
        <v>35</v>
      </c>
      <c r="H55" t="s">
        <v>30</v>
      </c>
      <c r="I55" t="s">
        <v>32</v>
      </c>
      <c r="J55" t="s">
        <v>26</v>
      </c>
      <c r="K55">
        <v>20</v>
      </c>
      <c r="L55">
        <v>15</v>
      </c>
      <c r="M55">
        <v>15</v>
      </c>
    </row>
    <row r="56" spans="1:13">
      <c r="A56">
        <v>3514</v>
      </c>
      <c r="B56" t="s">
        <v>304</v>
      </c>
      <c r="C56" t="s">
        <v>25</v>
      </c>
      <c r="D56" s="21">
        <v>45631</v>
      </c>
      <c r="E56" t="s">
        <v>26</v>
      </c>
      <c r="F56">
        <v>15</v>
      </c>
      <c r="G56" t="s">
        <v>35</v>
      </c>
      <c r="H56" t="s">
        <v>26</v>
      </c>
      <c r="I56">
        <v>30</v>
      </c>
      <c r="J56" t="s">
        <v>26</v>
      </c>
      <c r="K56">
        <v>20</v>
      </c>
      <c r="L56">
        <v>7</v>
      </c>
      <c r="M56">
        <v>58</v>
      </c>
    </row>
    <row r="57" spans="1:13">
      <c r="A57">
        <v>3237</v>
      </c>
      <c r="B57" t="s">
        <v>39</v>
      </c>
      <c r="C57" t="s">
        <v>25</v>
      </c>
      <c r="D57" s="21">
        <v>45354</v>
      </c>
      <c r="E57" t="s">
        <v>26</v>
      </c>
      <c r="F57">
        <v>15</v>
      </c>
      <c r="G57" t="s">
        <v>35</v>
      </c>
      <c r="H57" t="s">
        <v>26</v>
      </c>
      <c r="I57">
        <v>30</v>
      </c>
      <c r="J57" t="s">
        <v>26</v>
      </c>
      <c r="K57">
        <v>20</v>
      </c>
      <c r="L57">
        <v>10</v>
      </c>
      <c r="M57">
        <v>55</v>
      </c>
    </row>
    <row r="58" spans="1:13">
      <c r="A58">
        <v>3502</v>
      </c>
      <c r="B58" t="s">
        <v>293</v>
      </c>
      <c r="C58" t="s">
        <v>25</v>
      </c>
      <c r="D58" s="21">
        <v>45619</v>
      </c>
      <c r="E58" t="s">
        <v>26</v>
      </c>
      <c r="F58">
        <v>15</v>
      </c>
      <c r="G58" t="s">
        <v>35</v>
      </c>
      <c r="H58" t="s">
        <v>26</v>
      </c>
      <c r="I58">
        <v>30</v>
      </c>
      <c r="J58" t="s">
        <v>26</v>
      </c>
      <c r="K58">
        <v>20</v>
      </c>
      <c r="L58">
        <v>7</v>
      </c>
      <c r="M58">
        <v>58</v>
      </c>
    </row>
    <row r="59" spans="1:13">
      <c r="A59">
        <v>3493</v>
      </c>
      <c r="B59" t="s">
        <v>284</v>
      </c>
      <c r="C59" t="s">
        <v>25</v>
      </c>
      <c r="D59" s="21">
        <v>45610</v>
      </c>
      <c r="E59" t="s">
        <v>30</v>
      </c>
      <c r="F59">
        <v>15</v>
      </c>
      <c r="G59" t="s">
        <v>35</v>
      </c>
      <c r="H59" t="s">
        <v>26</v>
      </c>
      <c r="I59">
        <v>30</v>
      </c>
      <c r="J59" t="s">
        <v>26</v>
      </c>
      <c r="K59">
        <v>20</v>
      </c>
      <c r="L59">
        <v>20</v>
      </c>
      <c r="M59">
        <v>45</v>
      </c>
    </row>
    <row r="60" spans="1:13">
      <c r="A60">
        <v>3487</v>
      </c>
      <c r="B60" t="s">
        <v>278</v>
      </c>
      <c r="C60" t="s">
        <v>25</v>
      </c>
      <c r="D60" s="21">
        <v>45604</v>
      </c>
      <c r="E60" t="s">
        <v>30</v>
      </c>
      <c r="F60">
        <v>15</v>
      </c>
      <c r="G60" t="s">
        <v>35</v>
      </c>
      <c r="H60" t="s">
        <v>26</v>
      </c>
      <c r="I60">
        <v>30</v>
      </c>
      <c r="J60" t="s">
        <v>26</v>
      </c>
      <c r="K60">
        <v>20</v>
      </c>
      <c r="L60">
        <v>7</v>
      </c>
      <c r="M60">
        <v>58</v>
      </c>
    </row>
    <row r="61" spans="1:13">
      <c r="A61">
        <v>3248</v>
      </c>
      <c r="B61" t="s">
        <v>50</v>
      </c>
      <c r="C61" t="s">
        <v>25</v>
      </c>
      <c r="D61" s="21">
        <v>45365</v>
      </c>
      <c r="E61" t="s">
        <v>26</v>
      </c>
      <c r="F61">
        <v>15</v>
      </c>
      <c r="G61" t="s">
        <v>35</v>
      </c>
      <c r="H61" t="s">
        <v>26</v>
      </c>
      <c r="I61">
        <v>30</v>
      </c>
      <c r="J61" t="s">
        <v>26</v>
      </c>
      <c r="K61">
        <v>20</v>
      </c>
      <c r="L61">
        <v>7</v>
      </c>
      <c r="M61">
        <v>58</v>
      </c>
    </row>
    <row r="62" spans="1:13">
      <c r="A62">
        <v>3476</v>
      </c>
      <c r="B62" t="s">
        <v>267</v>
      </c>
      <c r="C62" t="s">
        <v>25</v>
      </c>
      <c r="D62" s="21">
        <v>45593</v>
      </c>
      <c r="E62" t="s">
        <v>26</v>
      </c>
      <c r="F62">
        <v>15</v>
      </c>
      <c r="G62" t="s">
        <v>35</v>
      </c>
      <c r="H62" t="s">
        <v>26</v>
      </c>
      <c r="I62">
        <v>30</v>
      </c>
      <c r="J62" t="s">
        <v>26</v>
      </c>
      <c r="K62">
        <v>20</v>
      </c>
      <c r="L62">
        <v>7</v>
      </c>
      <c r="M62">
        <v>58</v>
      </c>
    </row>
    <row r="63" spans="1:13">
      <c r="A63">
        <v>3464</v>
      </c>
      <c r="B63" t="s">
        <v>256</v>
      </c>
      <c r="C63" t="s">
        <v>25</v>
      </c>
      <c r="D63" s="21">
        <v>45581</v>
      </c>
      <c r="E63" t="s">
        <v>26</v>
      </c>
      <c r="F63">
        <v>15</v>
      </c>
      <c r="G63" t="s">
        <v>35</v>
      </c>
      <c r="H63" t="s">
        <v>26</v>
      </c>
      <c r="I63">
        <v>30</v>
      </c>
      <c r="J63" t="s">
        <v>26</v>
      </c>
      <c r="K63">
        <v>20</v>
      </c>
      <c r="L63">
        <v>7</v>
      </c>
      <c r="M63">
        <v>58</v>
      </c>
    </row>
    <row r="64" spans="1:13">
      <c r="A64">
        <v>3452</v>
      </c>
      <c r="B64" t="s">
        <v>224</v>
      </c>
      <c r="C64" t="s">
        <v>25</v>
      </c>
      <c r="D64" s="21">
        <v>45569</v>
      </c>
      <c r="E64" t="s">
        <v>26</v>
      </c>
      <c r="F64">
        <v>15</v>
      </c>
      <c r="G64" t="s">
        <v>35</v>
      </c>
      <c r="H64" t="s">
        <v>26</v>
      </c>
      <c r="I64">
        <v>30</v>
      </c>
      <c r="J64" t="s">
        <v>26</v>
      </c>
      <c r="K64">
        <v>20</v>
      </c>
      <c r="L64">
        <v>7</v>
      </c>
      <c r="M64">
        <v>58</v>
      </c>
    </row>
    <row r="65" spans="1:13">
      <c r="A65">
        <v>3260</v>
      </c>
      <c r="B65" t="s">
        <v>62</v>
      </c>
      <c r="C65" t="s">
        <v>25</v>
      </c>
      <c r="D65" s="21">
        <v>45377</v>
      </c>
      <c r="E65" t="s">
        <v>26</v>
      </c>
      <c r="F65">
        <v>15</v>
      </c>
      <c r="G65" t="s">
        <v>35</v>
      </c>
      <c r="H65" t="s">
        <v>26</v>
      </c>
      <c r="I65">
        <v>30</v>
      </c>
      <c r="J65" t="s">
        <v>26</v>
      </c>
      <c r="K65">
        <v>20</v>
      </c>
      <c r="L65">
        <v>7</v>
      </c>
      <c r="M65">
        <v>58</v>
      </c>
    </row>
    <row r="66" spans="1:13">
      <c r="A66">
        <v>3443</v>
      </c>
      <c r="B66" t="s">
        <v>239</v>
      </c>
      <c r="C66" t="s">
        <v>25</v>
      </c>
      <c r="D66" s="21">
        <v>45560</v>
      </c>
      <c r="E66" t="s">
        <v>30</v>
      </c>
      <c r="F66">
        <v>15</v>
      </c>
      <c r="G66" t="s">
        <v>35</v>
      </c>
      <c r="H66" t="s">
        <v>26</v>
      </c>
      <c r="I66">
        <v>30</v>
      </c>
      <c r="J66" t="s">
        <v>26</v>
      </c>
      <c r="K66">
        <v>20</v>
      </c>
      <c r="L66">
        <v>20</v>
      </c>
      <c r="M66">
        <v>45</v>
      </c>
    </row>
    <row r="67" spans="1:13">
      <c r="A67">
        <v>3437</v>
      </c>
      <c r="B67" t="s">
        <v>233</v>
      </c>
      <c r="C67" t="s">
        <v>25</v>
      </c>
      <c r="D67" s="21">
        <v>45554</v>
      </c>
      <c r="E67" t="s">
        <v>30</v>
      </c>
      <c r="F67">
        <v>15</v>
      </c>
      <c r="G67" t="s">
        <v>35</v>
      </c>
      <c r="H67" t="s">
        <v>26</v>
      </c>
      <c r="I67">
        <v>30</v>
      </c>
      <c r="J67" t="s">
        <v>26</v>
      </c>
      <c r="K67">
        <v>20</v>
      </c>
      <c r="L67">
        <v>7</v>
      </c>
      <c r="M67">
        <v>58</v>
      </c>
    </row>
    <row r="68" spans="1:13">
      <c r="A68">
        <v>3434</v>
      </c>
      <c r="B68" t="s">
        <v>230</v>
      </c>
      <c r="C68" t="s">
        <v>25</v>
      </c>
      <c r="D68" s="21">
        <v>45551</v>
      </c>
      <c r="E68" t="s">
        <v>26</v>
      </c>
      <c r="F68">
        <v>15</v>
      </c>
      <c r="G68" t="s">
        <v>35</v>
      </c>
      <c r="H68" t="s">
        <v>26</v>
      </c>
      <c r="I68">
        <v>30</v>
      </c>
      <c r="J68" t="s">
        <v>26</v>
      </c>
      <c r="K68">
        <v>20</v>
      </c>
      <c r="L68">
        <v>7</v>
      </c>
      <c r="M68">
        <v>58</v>
      </c>
    </row>
    <row r="69" spans="1:13">
      <c r="A69">
        <v>3267</v>
      </c>
      <c r="B69" t="s">
        <v>69</v>
      </c>
      <c r="C69" t="s">
        <v>25</v>
      </c>
      <c r="D69" s="21">
        <v>45384</v>
      </c>
      <c r="E69" t="s">
        <v>30</v>
      </c>
      <c r="F69">
        <v>15</v>
      </c>
      <c r="G69" t="s">
        <v>35</v>
      </c>
      <c r="H69" t="s">
        <v>26</v>
      </c>
      <c r="I69">
        <v>30</v>
      </c>
      <c r="J69" t="s">
        <v>26</v>
      </c>
      <c r="K69">
        <v>20</v>
      </c>
      <c r="L69">
        <v>7</v>
      </c>
      <c r="M69">
        <v>58</v>
      </c>
    </row>
    <row r="70" spans="1:13">
      <c r="A70">
        <v>3422</v>
      </c>
      <c r="B70" t="s">
        <v>220</v>
      </c>
      <c r="C70" t="s">
        <v>25</v>
      </c>
      <c r="D70" s="21">
        <v>45539</v>
      </c>
      <c r="E70" t="s">
        <v>26</v>
      </c>
      <c r="F70">
        <v>15</v>
      </c>
      <c r="G70" t="s">
        <v>35</v>
      </c>
      <c r="H70" t="s">
        <v>26</v>
      </c>
      <c r="I70">
        <v>30</v>
      </c>
      <c r="J70" t="s">
        <v>26</v>
      </c>
      <c r="K70">
        <v>20</v>
      </c>
      <c r="L70">
        <v>7</v>
      </c>
      <c r="M70">
        <v>58</v>
      </c>
    </row>
    <row r="71" spans="1:13">
      <c r="A71">
        <v>3273</v>
      </c>
      <c r="B71" t="s">
        <v>75</v>
      </c>
      <c r="C71" t="s">
        <v>25</v>
      </c>
      <c r="D71" s="21">
        <v>45390</v>
      </c>
      <c r="E71" t="s">
        <v>30</v>
      </c>
      <c r="F71">
        <v>15</v>
      </c>
      <c r="G71" t="s">
        <v>35</v>
      </c>
      <c r="H71" t="s">
        <v>26</v>
      </c>
      <c r="I71">
        <v>30</v>
      </c>
      <c r="J71" t="s">
        <v>26</v>
      </c>
      <c r="K71">
        <v>20</v>
      </c>
      <c r="L71">
        <v>20</v>
      </c>
      <c r="M71">
        <v>45</v>
      </c>
    </row>
    <row r="72" spans="1:13">
      <c r="A72">
        <v>3413</v>
      </c>
      <c r="B72" t="s">
        <v>212</v>
      </c>
      <c r="C72" t="s">
        <v>25</v>
      </c>
      <c r="D72" s="21">
        <v>45530</v>
      </c>
      <c r="E72" t="s">
        <v>30</v>
      </c>
      <c r="F72">
        <v>15</v>
      </c>
      <c r="G72" t="s">
        <v>35</v>
      </c>
      <c r="H72" t="s">
        <v>26</v>
      </c>
      <c r="I72">
        <v>30</v>
      </c>
      <c r="J72" t="s">
        <v>26</v>
      </c>
      <c r="K72">
        <v>20</v>
      </c>
      <c r="L72">
        <v>20</v>
      </c>
      <c r="M72">
        <v>45</v>
      </c>
    </row>
    <row r="73" spans="1:13">
      <c r="A73">
        <v>3407</v>
      </c>
      <c r="B73" t="s">
        <v>206</v>
      </c>
      <c r="C73" t="s">
        <v>25</v>
      </c>
      <c r="D73" s="21">
        <v>45524</v>
      </c>
      <c r="E73" t="s">
        <v>30</v>
      </c>
      <c r="F73">
        <v>15</v>
      </c>
      <c r="G73" t="s">
        <v>35</v>
      </c>
      <c r="H73" t="s">
        <v>26</v>
      </c>
      <c r="I73">
        <v>30</v>
      </c>
      <c r="J73" t="s">
        <v>26</v>
      </c>
      <c r="K73">
        <v>20</v>
      </c>
      <c r="L73">
        <v>7</v>
      </c>
      <c r="M73">
        <v>58</v>
      </c>
    </row>
    <row r="74" spans="1:13">
      <c r="A74">
        <v>3394</v>
      </c>
      <c r="B74" t="s">
        <v>194</v>
      </c>
      <c r="C74" t="s">
        <v>25</v>
      </c>
      <c r="D74" s="21">
        <v>45511</v>
      </c>
      <c r="E74" t="s">
        <v>26</v>
      </c>
      <c r="F74">
        <v>15</v>
      </c>
      <c r="G74" t="s">
        <v>35</v>
      </c>
      <c r="H74" t="s">
        <v>26</v>
      </c>
      <c r="I74">
        <v>30</v>
      </c>
      <c r="J74" t="s">
        <v>26</v>
      </c>
      <c r="K74">
        <v>20</v>
      </c>
      <c r="L74">
        <v>7</v>
      </c>
      <c r="M74">
        <v>58</v>
      </c>
    </row>
    <row r="75" spans="1:13">
      <c r="A75">
        <v>3282</v>
      </c>
      <c r="B75" t="s">
        <v>84</v>
      </c>
      <c r="C75" t="s">
        <v>25</v>
      </c>
      <c r="D75" s="21">
        <v>45399</v>
      </c>
      <c r="E75" t="s">
        <v>26</v>
      </c>
      <c r="F75">
        <v>15</v>
      </c>
      <c r="G75" t="s">
        <v>35</v>
      </c>
      <c r="H75" t="s">
        <v>26</v>
      </c>
      <c r="I75">
        <v>30</v>
      </c>
      <c r="J75" t="s">
        <v>26</v>
      </c>
      <c r="K75">
        <v>20</v>
      </c>
      <c r="L75">
        <v>7</v>
      </c>
      <c r="M75">
        <v>58</v>
      </c>
    </row>
    <row r="76" spans="1:13">
      <c r="A76">
        <v>3382</v>
      </c>
      <c r="B76" t="s">
        <v>183</v>
      </c>
      <c r="C76" t="s">
        <v>25</v>
      </c>
      <c r="D76" s="21">
        <v>45499</v>
      </c>
      <c r="E76" t="s">
        <v>26</v>
      </c>
      <c r="F76">
        <v>15</v>
      </c>
      <c r="G76" t="s">
        <v>35</v>
      </c>
      <c r="H76" t="s">
        <v>26</v>
      </c>
      <c r="I76">
        <v>30</v>
      </c>
      <c r="J76" t="s">
        <v>26</v>
      </c>
      <c r="K76">
        <v>20</v>
      </c>
      <c r="L76">
        <v>7</v>
      </c>
      <c r="M76">
        <v>58</v>
      </c>
    </row>
    <row r="77" spans="1:13">
      <c r="A77">
        <v>3373</v>
      </c>
      <c r="B77" t="s">
        <v>174</v>
      </c>
      <c r="C77" t="s">
        <v>25</v>
      </c>
      <c r="D77" s="21">
        <v>45490</v>
      </c>
      <c r="E77" t="s">
        <v>30</v>
      </c>
      <c r="F77">
        <v>15</v>
      </c>
      <c r="G77" t="s">
        <v>35</v>
      </c>
      <c r="H77" t="s">
        <v>26</v>
      </c>
      <c r="I77">
        <v>30</v>
      </c>
      <c r="J77" t="s">
        <v>26</v>
      </c>
      <c r="K77">
        <v>20</v>
      </c>
      <c r="L77">
        <v>20</v>
      </c>
      <c r="M77">
        <v>45</v>
      </c>
    </row>
    <row r="78" spans="1:13">
      <c r="A78">
        <v>3367</v>
      </c>
      <c r="B78" t="s">
        <v>168</v>
      </c>
      <c r="C78" t="s">
        <v>25</v>
      </c>
      <c r="D78" s="21">
        <v>45484</v>
      </c>
      <c r="E78" t="s">
        <v>30</v>
      </c>
      <c r="F78">
        <v>15</v>
      </c>
      <c r="G78" t="s">
        <v>35</v>
      </c>
      <c r="H78" t="s">
        <v>26</v>
      </c>
      <c r="I78">
        <v>30</v>
      </c>
      <c r="J78" t="s">
        <v>26</v>
      </c>
      <c r="K78">
        <v>20</v>
      </c>
      <c r="L78">
        <v>7</v>
      </c>
      <c r="M78">
        <v>58</v>
      </c>
    </row>
    <row r="79" spans="1:13">
      <c r="A79">
        <v>3364</v>
      </c>
      <c r="B79" t="s">
        <v>165</v>
      </c>
      <c r="C79" t="s">
        <v>25</v>
      </c>
      <c r="D79" s="21">
        <v>45481</v>
      </c>
      <c r="E79" t="s">
        <v>26</v>
      </c>
      <c r="F79">
        <v>15</v>
      </c>
      <c r="G79" t="s">
        <v>35</v>
      </c>
      <c r="H79" t="s">
        <v>26</v>
      </c>
      <c r="I79">
        <v>30</v>
      </c>
      <c r="J79" t="s">
        <v>26</v>
      </c>
      <c r="K79">
        <v>20</v>
      </c>
      <c r="L79">
        <v>7</v>
      </c>
      <c r="M79">
        <v>58</v>
      </c>
    </row>
    <row r="80" spans="1:13">
      <c r="A80">
        <v>3294</v>
      </c>
      <c r="B80" t="s">
        <v>96</v>
      </c>
      <c r="C80" t="s">
        <v>25</v>
      </c>
      <c r="D80" s="21">
        <v>45411</v>
      </c>
      <c r="E80" t="s">
        <v>26</v>
      </c>
      <c r="F80">
        <v>15</v>
      </c>
      <c r="G80" t="s">
        <v>35</v>
      </c>
      <c r="H80" t="s">
        <v>26</v>
      </c>
      <c r="I80">
        <v>30</v>
      </c>
      <c r="J80" t="s">
        <v>26</v>
      </c>
      <c r="K80">
        <v>20</v>
      </c>
      <c r="L80">
        <v>20</v>
      </c>
      <c r="M80">
        <v>45</v>
      </c>
    </row>
    <row r="81" spans="1:13">
      <c r="A81">
        <v>3297</v>
      </c>
      <c r="B81" t="s">
        <v>99</v>
      </c>
      <c r="C81" t="s">
        <v>25</v>
      </c>
      <c r="D81" s="21">
        <v>45414</v>
      </c>
      <c r="E81" t="s">
        <v>26</v>
      </c>
      <c r="F81">
        <v>15</v>
      </c>
      <c r="G81" t="s">
        <v>35</v>
      </c>
      <c r="H81" t="s">
        <v>26</v>
      </c>
      <c r="I81">
        <v>30</v>
      </c>
      <c r="J81" t="s">
        <v>26</v>
      </c>
      <c r="K81">
        <v>20</v>
      </c>
      <c r="L81">
        <v>7</v>
      </c>
      <c r="M81">
        <v>58</v>
      </c>
    </row>
    <row r="82" spans="1:13">
      <c r="A82">
        <v>3352</v>
      </c>
      <c r="B82" t="s">
        <v>153</v>
      </c>
      <c r="C82" t="s">
        <v>25</v>
      </c>
      <c r="D82" s="21">
        <v>45469</v>
      </c>
      <c r="E82" t="s">
        <v>26</v>
      </c>
      <c r="F82">
        <v>15</v>
      </c>
      <c r="G82" t="s">
        <v>35</v>
      </c>
      <c r="H82" t="s">
        <v>26</v>
      </c>
      <c r="I82">
        <v>30</v>
      </c>
      <c r="J82" t="s">
        <v>26</v>
      </c>
      <c r="K82">
        <v>20</v>
      </c>
      <c r="L82">
        <v>7</v>
      </c>
      <c r="M82">
        <v>58</v>
      </c>
    </row>
    <row r="83" spans="1:13">
      <c r="A83">
        <v>3343</v>
      </c>
      <c r="B83" t="s">
        <v>145</v>
      </c>
      <c r="C83" t="s">
        <v>25</v>
      </c>
      <c r="D83" s="21">
        <v>45460</v>
      </c>
      <c r="E83" t="s">
        <v>30</v>
      </c>
      <c r="F83">
        <v>15</v>
      </c>
      <c r="G83" t="s">
        <v>35</v>
      </c>
      <c r="H83" t="s">
        <v>26</v>
      </c>
      <c r="I83">
        <v>30</v>
      </c>
      <c r="J83" t="s">
        <v>26</v>
      </c>
      <c r="K83">
        <v>20</v>
      </c>
      <c r="L83">
        <v>20</v>
      </c>
      <c r="M83">
        <v>45</v>
      </c>
    </row>
    <row r="84" spans="1:13">
      <c r="A84">
        <v>3303</v>
      </c>
      <c r="B84" t="s">
        <v>105</v>
      </c>
      <c r="C84" t="s">
        <v>25</v>
      </c>
      <c r="D84" s="21">
        <v>45420</v>
      </c>
      <c r="E84" t="s">
        <v>26</v>
      </c>
      <c r="F84">
        <v>15</v>
      </c>
      <c r="G84" t="s">
        <v>35</v>
      </c>
      <c r="H84" t="s">
        <v>26</v>
      </c>
      <c r="I84">
        <v>30</v>
      </c>
      <c r="J84" t="s">
        <v>26</v>
      </c>
      <c r="K84">
        <v>20</v>
      </c>
      <c r="L84">
        <v>20</v>
      </c>
      <c r="M84">
        <v>45</v>
      </c>
    </row>
    <row r="85" spans="1:13">
      <c r="A85">
        <v>3337</v>
      </c>
      <c r="B85" t="s">
        <v>139</v>
      </c>
      <c r="C85" t="s">
        <v>25</v>
      </c>
      <c r="D85" s="21">
        <v>45454</v>
      </c>
      <c r="E85" t="s">
        <v>30</v>
      </c>
      <c r="F85">
        <v>15</v>
      </c>
      <c r="G85" t="s">
        <v>35</v>
      </c>
      <c r="H85" t="s">
        <v>26</v>
      </c>
      <c r="I85">
        <v>30</v>
      </c>
      <c r="J85" t="s">
        <v>26</v>
      </c>
      <c r="K85">
        <v>20</v>
      </c>
      <c r="L85">
        <v>7</v>
      </c>
      <c r="M85">
        <v>58</v>
      </c>
    </row>
    <row r="86" spans="1:13">
      <c r="A86">
        <v>3333</v>
      </c>
      <c r="B86" t="s">
        <v>135</v>
      </c>
      <c r="C86" t="s">
        <v>25</v>
      </c>
      <c r="D86" s="21">
        <v>45450</v>
      </c>
      <c r="E86" t="s">
        <v>26</v>
      </c>
      <c r="F86">
        <v>15</v>
      </c>
      <c r="G86" t="s">
        <v>35</v>
      </c>
      <c r="H86" t="s">
        <v>26</v>
      </c>
      <c r="I86">
        <v>30</v>
      </c>
      <c r="J86" t="s">
        <v>26</v>
      </c>
      <c r="K86">
        <v>20</v>
      </c>
      <c r="L86">
        <v>20</v>
      </c>
      <c r="M86">
        <v>45</v>
      </c>
    </row>
    <row r="87" spans="1:13">
      <c r="A87">
        <v>3312</v>
      </c>
      <c r="B87" t="s">
        <v>114</v>
      </c>
      <c r="C87" t="s">
        <v>25</v>
      </c>
      <c r="D87" s="21">
        <v>45429</v>
      </c>
      <c r="E87" t="s">
        <v>30</v>
      </c>
      <c r="F87">
        <v>15</v>
      </c>
      <c r="G87" t="s">
        <v>35</v>
      </c>
      <c r="H87" t="s">
        <v>26</v>
      </c>
      <c r="I87">
        <v>30</v>
      </c>
      <c r="J87" t="s">
        <v>26</v>
      </c>
      <c r="K87">
        <v>20</v>
      </c>
      <c r="L87">
        <v>7</v>
      </c>
      <c r="M87">
        <v>58</v>
      </c>
    </row>
    <row r="88" spans="1:13">
      <c r="A88">
        <v>3324</v>
      </c>
      <c r="B88" t="s">
        <v>126</v>
      </c>
      <c r="C88" t="s">
        <v>25</v>
      </c>
      <c r="D88" s="21">
        <v>45441</v>
      </c>
      <c r="E88" t="s">
        <v>30</v>
      </c>
      <c r="F88">
        <v>15</v>
      </c>
      <c r="G88" t="s">
        <v>35</v>
      </c>
      <c r="H88" t="s">
        <v>26</v>
      </c>
      <c r="I88">
        <v>30</v>
      </c>
      <c r="J88" t="s">
        <v>26</v>
      </c>
      <c r="K88">
        <v>20</v>
      </c>
      <c r="L88">
        <v>20</v>
      </c>
      <c r="M88">
        <v>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F36"/>
  <sheetViews>
    <sheetView showGridLines="0" topLeftCell="A23" workbookViewId="0">
      <selection activeCell="E32" sqref="E32"/>
    </sheetView>
  </sheetViews>
  <sheetFormatPr defaultRowHeight="15"/>
  <cols>
    <col min="2" max="2" width="16" customWidth="1"/>
    <col min="3" max="3" width="33.85546875" bestFit="1" customWidth="1"/>
    <col min="4" max="4" width="35.42578125" bestFit="1" customWidth="1"/>
    <col min="5" max="5" width="8.5703125" customWidth="1"/>
    <col min="6" max="6" width="10.42578125" bestFit="1" customWidth="1"/>
    <col min="7" max="7" width="31" bestFit="1" customWidth="1"/>
    <col min="8" max="8" width="36.28515625" customWidth="1"/>
    <col min="9" max="9" width="35.710937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ht="16.5" customHeight="1">
      <c r="B3" s="16" t="s">
        <v>314</v>
      </c>
      <c r="C3" s="16"/>
      <c r="D3" s="16"/>
      <c r="E3" s="16"/>
      <c r="F3" s="16"/>
    </row>
    <row r="6" spans="2:6">
      <c r="B6" s="13" t="s">
        <v>315</v>
      </c>
    </row>
    <row r="7" spans="2:6">
      <c r="B7" s="13" t="s">
        <v>316</v>
      </c>
    </row>
    <row r="9" spans="2:6">
      <c r="B9" s="14" t="s">
        <v>17</v>
      </c>
      <c r="C9" t="s">
        <v>31</v>
      </c>
    </row>
    <row r="11" spans="2:6">
      <c r="B11" s="14" t="s">
        <v>15</v>
      </c>
      <c r="C11" t="s">
        <v>317</v>
      </c>
    </row>
    <row r="12" spans="2:6">
      <c r="B12" t="s">
        <v>30</v>
      </c>
      <c r="C12" s="15">
        <v>217</v>
      </c>
    </row>
    <row r="13" spans="2:6">
      <c r="B13" t="s">
        <v>26</v>
      </c>
      <c r="C13" s="15">
        <v>1537</v>
      </c>
    </row>
    <row r="14" spans="2:6">
      <c r="B14" t="s">
        <v>318</v>
      </c>
      <c r="C14" s="15">
        <v>1754</v>
      </c>
    </row>
    <row r="17" spans="2:4">
      <c r="B17" s="13" t="s">
        <v>319</v>
      </c>
    </row>
    <row r="19" spans="2:4">
      <c r="B19" s="14" t="s">
        <v>17</v>
      </c>
      <c r="C19" t="s">
        <v>31</v>
      </c>
    </row>
    <row r="21" spans="2:4">
      <c r="B21" s="14" t="s">
        <v>13</v>
      </c>
      <c r="C21" t="s">
        <v>320</v>
      </c>
    </row>
    <row r="22" spans="2:4">
      <c r="B22" t="s">
        <v>29</v>
      </c>
      <c r="C22" s="20">
        <v>0</v>
      </c>
    </row>
    <row r="23" spans="2:4">
      <c r="B23" t="s">
        <v>34</v>
      </c>
      <c r="C23" s="20">
        <v>0</v>
      </c>
    </row>
    <row r="24" spans="2:4">
      <c r="B24" t="s">
        <v>25</v>
      </c>
      <c r="C24" s="20">
        <v>600</v>
      </c>
    </row>
    <row r="25" spans="2:4">
      <c r="B25" t="s">
        <v>318</v>
      </c>
      <c r="C25" s="20">
        <v>600</v>
      </c>
      <c r="D25" s="24">
        <f>GETPIVOTDATA("Soma de EA Play Season PassPrice",$B$25)</f>
        <v>600</v>
      </c>
    </row>
    <row r="28" spans="2:4">
      <c r="B28" s="13" t="s">
        <v>321</v>
      </c>
    </row>
    <row r="29" spans="2:4">
      <c r="B29" s="13"/>
    </row>
    <row r="30" spans="2:4">
      <c r="B30" s="14" t="s">
        <v>17</v>
      </c>
      <c r="C30" t="s">
        <v>31</v>
      </c>
    </row>
    <row r="32" spans="2:4">
      <c r="B32" s="14" t="s">
        <v>13</v>
      </c>
      <c r="C32" t="s">
        <v>322</v>
      </c>
    </row>
    <row r="33" spans="2:4">
      <c r="B33" t="s">
        <v>29</v>
      </c>
      <c r="C33" s="15">
        <v>0</v>
      </c>
    </row>
    <row r="34" spans="2:4">
      <c r="B34" t="s">
        <v>34</v>
      </c>
      <c r="C34" s="15">
        <v>540</v>
      </c>
    </row>
    <row r="35" spans="2:4">
      <c r="B35" t="s">
        <v>25</v>
      </c>
      <c r="C35" s="15">
        <v>400</v>
      </c>
    </row>
    <row r="36" spans="2:4">
      <c r="B36" t="s">
        <v>318</v>
      </c>
      <c r="C36" s="15">
        <v>940</v>
      </c>
      <c r="D36" s="24">
        <f>GETPIVOTDATA("Minecraft Season Pass Price",$C$36)</f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DJ224"/>
  <sheetViews>
    <sheetView showGridLines="0" showRowColHeaders="0" tabSelected="1" zoomScale="80" zoomScaleNormal="80" workbookViewId="0">
      <selection activeCell="A37" sqref="A37:XFD1048576"/>
    </sheetView>
  </sheetViews>
  <sheetFormatPr defaultColWidth="0" defaultRowHeight="15" zeroHeight="1"/>
  <cols>
    <col min="1" max="1" width="29.7109375" style="25" customWidth="1"/>
    <col min="2" max="2" width="5.42578125" customWidth="1"/>
    <col min="3" max="3" width="36.5703125" bestFit="1" customWidth="1"/>
    <col min="4" max="4" width="18.7109375" bestFit="1" customWidth="1"/>
    <col min="5" max="5" width="10.85546875" customWidth="1"/>
    <col min="6" max="6" width="9.140625" customWidth="1"/>
    <col min="7" max="7" width="5" customWidth="1"/>
    <col min="8" max="8" width="9.140625" customWidth="1"/>
    <col min="9" max="9" width="3.85546875" customWidth="1"/>
    <col min="10" max="10" width="36.5703125" bestFit="1" customWidth="1"/>
    <col min="11" max="11" width="9.140625" customWidth="1"/>
    <col min="12" max="12" width="6.5703125" hidden="1"/>
    <col min="68" max="114" width="9.140625" hidden="1"/>
  </cols>
  <sheetData>
    <row r="1" spans="2:33"/>
    <row r="2" spans="2:33" ht="58.5" customHeight="1">
      <c r="C2" s="23" t="s">
        <v>323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2:33" ht="36.75" customHeight="1">
      <c r="B3" s="12"/>
      <c r="C3" s="12"/>
    </row>
    <row r="4" spans="2:33" ht="8.25" customHeight="1">
      <c r="B4" s="28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</row>
    <row r="5" spans="2:33" ht="7.5" customHeight="1">
      <c r="B5" s="2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</row>
    <row r="6" spans="2:33" ht="16.5" customHeight="1">
      <c r="B6" s="29"/>
      <c r="C6" s="40" t="s">
        <v>324</v>
      </c>
      <c r="D6" s="42"/>
      <c r="E6" s="7"/>
      <c r="F6" s="7"/>
      <c r="G6" s="40" t="s">
        <v>325</v>
      </c>
      <c r="H6" s="41"/>
      <c r="I6" s="41"/>
      <c r="J6" s="42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</row>
    <row r="7" spans="2:33" ht="9.75" customHeight="1">
      <c r="B7" s="29"/>
      <c r="C7" s="43"/>
      <c r="D7" s="45"/>
      <c r="E7" s="7"/>
      <c r="F7" s="7"/>
      <c r="G7" s="43"/>
      <c r="H7" s="44"/>
      <c r="I7" s="44"/>
      <c r="J7" s="45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</row>
    <row r="8" spans="2:33" ht="33" customHeight="1">
      <c r="B8" s="29"/>
      <c r="C8" s="30">
        <f>C̳álculos!D25</f>
        <v>600</v>
      </c>
      <c r="D8" s="31"/>
      <c r="E8" s="7"/>
      <c r="F8" s="7"/>
      <c r="G8" s="34">
        <f>C̳álculos!D36</f>
        <v>940</v>
      </c>
      <c r="H8" s="35"/>
      <c r="I8" s="35"/>
      <c r="J8" s="36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2:33">
      <c r="B9" s="29"/>
      <c r="C9" s="30"/>
      <c r="D9" s="31"/>
      <c r="E9" s="7"/>
      <c r="F9" s="7"/>
      <c r="G9" s="34"/>
      <c r="H9" s="35"/>
      <c r="I9" s="35"/>
      <c r="J9" s="36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2:33">
      <c r="B10" s="29"/>
      <c r="C10" s="30"/>
      <c r="D10" s="31"/>
      <c r="E10" s="7"/>
      <c r="F10" s="7"/>
      <c r="G10" s="34"/>
      <c r="H10" s="35"/>
      <c r="I10" s="35"/>
      <c r="J10" s="36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2:33">
      <c r="B11" s="29"/>
      <c r="C11" s="30"/>
      <c r="D11" s="31"/>
      <c r="E11" s="26"/>
      <c r="F11" s="7"/>
      <c r="G11" s="34"/>
      <c r="H11" s="35"/>
      <c r="I11" s="35"/>
      <c r="J11" s="36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2:33">
      <c r="B12" s="29"/>
      <c r="C12" s="32"/>
      <c r="D12" s="33"/>
      <c r="E12" s="7"/>
      <c r="F12" s="7"/>
      <c r="G12" s="37"/>
      <c r="H12" s="38"/>
      <c r="I12" s="38"/>
      <c r="J12" s="39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2:33">
      <c r="B13" s="2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2:33">
      <c r="B14" s="2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2:33" ht="16.5">
      <c r="B15" s="29"/>
      <c r="C15" s="7"/>
      <c r="D15" s="46" t="s">
        <v>326</v>
      </c>
      <c r="E15" s="46"/>
      <c r="F15" s="46"/>
      <c r="G15" s="46"/>
      <c r="H15" s="46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2:33">
      <c r="B16" s="2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2:33">
      <c r="B17" s="2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2:33">
      <c r="B18" s="2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2:33">
      <c r="B19" s="2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2:33">
      <c r="B20" s="2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2:33">
      <c r="B21" s="2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2:33">
      <c r="B22" s="2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2:33">
      <c r="B23" s="2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2:33">
      <c r="B24" s="2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2:33">
      <c r="B25" s="2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2:33">
      <c r="B26" s="29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2:33">
      <c r="B27" s="29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2:33">
      <c r="B28" s="29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2:33">
      <c r="B29" s="29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2:33">
      <c r="B30" s="29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2:33">
      <c r="B31" s="29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2:33">
      <c r="B32" s="29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2:33">
      <c r="B33" s="29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2:33">
      <c r="B34" s="29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2:33">
      <c r="B35" s="29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2:33">
      <c r="B36" s="29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2:33" hidden="1">
      <c r="B37" s="29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2:33" hidden="1">
      <c r="B38" s="29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2:33" hidden="1">
      <c r="B39" s="29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2:33" hidden="1">
      <c r="B40" s="29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2:33" hidden="1">
      <c r="B41" s="29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2:33" hidden="1">
      <c r="B42" s="29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2:33" hidden="1">
      <c r="B43" s="29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2:33" hidden="1">
      <c r="B44" s="29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2:33" hidden="1">
      <c r="B45" s="29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2:33" hidden="1">
      <c r="B46" s="29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2:33" hidden="1">
      <c r="B47" s="29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2:33" hidden="1">
      <c r="B48" s="29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2:33" hidden="1">
      <c r="B49" s="29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2:33" hidden="1">
      <c r="B50" s="29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2:33" hidden="1">
      <c r="B51" s="29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2:33" hidden="1">
      <c r="B52" s="29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2:33" hidden="1">
      <c r="B53" s="29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2:33" hidden="1">
      <c r="B54" s="29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2:33" hidden="1">
      <c r="B55" s="29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2:33" hidden="1">
      <c r="B56" s="29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2:33" hidden="1">
      <c r="B57" s="29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2:33" hidden="1">
      <c r="B58" s="29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2:33" hidden="1">
      <c r="B59" s="29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2:33" hidden="1">
      <c r="B60" s="29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2:33" hidden="1">
      <c r="B61" s="29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2:33" hidden="1">
      <c r="B62" s="29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2:33" hidden="1">
      <c r="B63" s="29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2:33" hidden="1">
      <c r="B64" s="29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2:33" hidden="1">
      <c r="B65" s="29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2:33" hidden="1">
      <c r="B66" s="29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2:33" hidden="1">
      <c r="B67" s="29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2:33" hidden="1">
      <c r="B68" s="29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2:33" hidden="1">
      <c r="B69" s="29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2:33" hidden="1">
      <c r="B70" s="29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2:33" hidden="1">
      <c r="B71" s="29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2:33" hidden="1">
      <c r="B72" s="29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2:33" hidden="1">
      <c r="B73" s="29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2:33" hidden="1">
      <c r="B74" s="29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2:33" hidden="1">
      <c r="B75" s="29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2:33" hidden="1">
      <c r="B76" s="29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2:33" hidden="1">
      <c r="B77" s="29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2:33" hidden="1">
      <c r="B78" s="29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2:33" hidden="1">
      <c r="B79" s="29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2:33" hidden="1">
      <c r="B80" s="29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2:33" hidden="1">
      <c r="B81" s="29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2:33" hidden="1">
      <c r="B82" s="29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2:33" hidden="1">
      <c r="B83" s="29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2:33" hidden="1">
      <c r="B84" s="29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2:33" hidden="1">
      <c r="B85" s="29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2:33" hidden="1">
      <c r="B86" s="29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2:33" hidden="1">
      <c r="B87" s="29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2:33" hidden="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2:33" hidden="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2:33" hidden="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2:33" hidden="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2:33" hidden="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2:33" hidden="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2:33" hidden="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2:33" hidden="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2:33" hidden="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2:33" hidden="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2:33" hidden="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2:33" hidden="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2:33" hidden="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2:33" hidden="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2:33" hidden="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2:33" hidden="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2:33" hidden="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2:33" hidden="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2:33" hidden="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2:33" hidden="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2:33" hidden="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2:33" hidden="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2:33" hidden="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2:33" hidden="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2:33" hidden="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2:33" hidden="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2:33" hidden="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2:33" hidden="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2:33" hidden="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2:33" hidden="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2:33" hidden="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2:33" hidden="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2:33" hidden="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2:33" hidden="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2:33" hidden="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2:33" hidden="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2:33" hidden="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2:33" hidden="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2:33" hidden="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2:33" hidden="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2:33" hidden="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2:33" hidden="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2:33" hidden="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2:33" hidden="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2:33" hidden="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2:33" hidden="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2:33" hidden="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2:33" hidden="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2:33" hidden="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2:33" hidden="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2:33" hidden="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2:33" hidden="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2:33" hidden="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2:33" hidden="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2:33" hidden="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2:33" hidden="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2:33" hidden="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2:33" hidden="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2:33" hidden="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2:33" hidden="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2:33" hidden="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2:33" hidden="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2:33" hidden="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2:33" hidden="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2:33" hidden="1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2:33" hidden="1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2:33" hidden="1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2:33" hidden="1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2:33" hidden="1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2:33" hidden="1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2:33" hidden="1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2:33" hidden="1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2:33" hidden="1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2:33" hidden="1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2:33" hidden="1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2:33" hidden="1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2:33" hidden="1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2:33" hidden="1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2:33" hidden="1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2:33" hidden="1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2:33" hidden="1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216" spans="3:5" hidden="1">
      <c r="C216" s="18"/>
      <c r="D216" s="18"/>
      <c r="E216" s="18"/>
    </row>
    <row r="217" spans="3:5" hidden="1">
      <c r="C217" s="18"/>
      <c r="D217" s="18"/>
      <c r="E217" s="18"/>
    </row>
    <row r="218" spans="3:5" hidden="1">
      <c r="C218" s="18" t="s">
        <v>17</v>
      </c>
      <c r="D218" s="18" t="s">
        <v>31</v>
      </c>
      <c r="E218" s="18"/>
    </row>
    <row r="219" spans="3:5" hidden="1">
      <c r="C219" s="18"/>
      <c r="D219" s="18"/>
      <c r="E219" s="18"/>
    </row>
    <row r="220" spans="3:5" hidden="1">
      <c r="C220" s="18" t="s">
        <v>15</v>
      </c>
      <c r="D220" s="18" t="s">
        <v>317</v>
      </c>
      <c r="E220" s="18"/>
    </row>
    <row r="221" spans="3:5" hidden="1">
      <c r="C221" s="18" t="s">
        <v>30</v>
      </c>
      <c r="D221" s="19">
        <v>217</v>
      </c>
      <c r="E221" s="18"/>
    </row>
    <row r="222" spans="3:5" hidden="1">
      <c r="C222" s="18" t="s">
        <v>26</v>
      </c>
      <c r="D222" s="19">
        <v>1537</v>
      </c>
      <c r="E222" s="18"/>
    </row>
    <row r="223" spans="3:5" hidden="1">
      <c r="C223" s="18" t="s">
        <v>318</v>
      </c>
      <c r="D223" s="19">
        <v>1754</v>
      </c>
      <c r="E223" s="18"/>
    </row>
    <row r="224" spans="3:5" hidden="1">
      <c r="C224" s="18"/>
      <c r="D224" s="18"/>
      <c r="E224" s="18"/>
    </row>
  </sheetData>
  <sheetProtection sheet="1" scenarios="1" pivotTables="0"/>
  <mergeCells count="5">
    <mergeCell ref="D15:H15"/>
    <mergeCell ref="C8:D12"/>
    <mergeCell ref="C6:D7"/>
    <mergeCell ref="G6:J7"/>
    <mergeCell ref="G8:J12"/>
  </mergeCells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2026-01-09T20:07:28Z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